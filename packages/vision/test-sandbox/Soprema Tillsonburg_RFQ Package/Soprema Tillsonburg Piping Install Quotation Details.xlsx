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lazevic\Documents\New folder\Soprema\"/>
    </mc:Choice>
  </mc:AlternateContent>
  <xr:revisionPtr revIDLastSave="0" documentId="13_ncr:1_{A30D51C2-F749-4360-AE99-B42E166BC879}" xr6:coauthVersionLast="47" xr6:coauthVersionMax="47" xr10:uidLastSave="{00000000-0000-0000-0000-000000000000}"/>
  <bookViews>
    <workbookView xWindow="27260" yWindow="-114" windowWidth="27603" windowHeight="14927" xr2:uid="{99A5D0A1-B369-44B4-B57D-814A5446A77B}"/>
  </bookViews>
  <sheets>
    <sheet name="Scope Breakdown" sheetId="1" r:id="rId1"/>
    <sheet name="Line List" sheetId="3" r:id="rId2"/>
    <sheet name="BID SHEET" sheetId="5" r:id="rId3"/>
  </sheets>
  <definedNames>
    <definedName name="A">'Line List'!$1:$1048576</definedName>
    <definedName name="_xlnm.Print_Area" localSheetId="2">'BID SHEET'!$A$1:$H$21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5" l="1"/>
  <c r="F21" i="5"/>
  <c r="E21" i="5"/>
</calcChain>
</file>

<file path=xl/sharedStrings.xml><?xml version="1.0" encoding="utf-8"?>
<sst xmlns="http://schemas.openxmlformats.org/spreadsheetml/2006/main" count="1431" uniqueCount="410">
  <si>
    <t>Hennecke Inc.</t>
  </si>
  <si>
    <t>Soprema</t>
  </si>
  <si>
    <t>Contractor</t>
  </si>
  <si>
    <t>Item</t>
  </si>
  <si>
    <t>Others</t>
  </si>
  <si>
    <t>Scope Item</t>
  </si>
  <si>
    <t>Overall process design</t>
  </si>
  <si>
    <t>Equipment layout within plant</t>
  </si>
  <si>
    <t>Bulk tank detailed design</t>
  </si>
  <si>
    <t>Tank trim component design</t>
  </si>
  <si>
    <t>Chemical interconnect general routing</t>
  </si>
  <si>
    <t>Interconnect pipe sizing</t>
  </si>
  <si>
    <t>Interconnect pipe flange/fitting design (general)</t>
  </si>
  <si>
    <t>Pipe support and rack design</t>
  </si>
  <si>
    <t>Civil/floor/roof loading info</t>
  </si>
  <si>
    <t>Pump skids (assembled)</t>
  </si>
  <si>
    <t>Heat exchanger skids</t>
  </si>
  <si>
    <t>Temperature control units</t>
  </si>
  <si>
    <t>Wall-mounted truck unload boxes</t>
  </si>
  <si>
    <t>All process valves</t>
  </si>
  <si>
    <t>All instrumentation</t>
  </si>
  <si>
    <t>Bulk tank trim valves &amp; instruments</t>
  </si>
  <si>
    <t>Major process equipment</t>
  </si>
  <si>
    <t>Bulk storage tanks</t>
  </si>
  <si>
    <t>Rail unload platforms</t>
  </si>
  <si>
    <t>Pentane system equipment</t>
  </si>
  <si>
    <t>Touch-up paint (1 gallon each color)</t>
  </si>
  <si>
    <t>Field representative support</t>
  </si>
  <si>
    <t>Interconnect piping (all raw pipe)</t>
  </si>
  <si>
    <t>Pipe fittings</t>
  </si>
  <si>
    <t>Flanges, bolts, gaskets</t>
  </si>
  <si>
    <t>Anchoring hardware</t>
  </si>
  <si>
    <t>Pipe supports and hangers</t>
  </si>
  <si>
    <t>Insulation materials</t>
  </si>
  <si>
    <t>Piping labels</t>
  </si>
  <si>
    <t>Industrial water hose (TCUs)</t>
  </si>
  <si>
    <t>Welding consumables</t>
  </si>
  <si>
    <t>Contractor break facilities</t>
  </si>
  <si>
    <t>Installed utility headers (air, nitrogen, chilled water)</t>
  </si>
  <si>
    <t>Wall penetrations for unload boxes</t>
  </si>
  <si>
    <t>Bulk tank placement prior to mech install</t>
  </si>
  <si>
    <t>Laydown area direction</t>
  </si>
  <si>
    <t>Site schedule/key dates</t>
  </si>
  <si>
    <t>Provide all labor, tools, supervision</t>
  </si>
  <si>
    <t>Receive and unload equipment</t>
  </si>
  <si>
    <t>Inventory and damage reporting</t>
  </si>
  <si>
    <t>Install and anchor skids</t>
  </si>
  <si>
    <t>Install unload boxes</t>
  </si>
  <si>
    <t>Install rail unload platforms</t>
  </si>
  <si>
    <t>Install TCUs</t>
  </si>
  <si>
    <t>Install pentane equipment</t>
  </si>
  <si>
    <t>Install tank trim assemblies</t>
  </si>
  <si>
    <t>Install interconnect piping</t>
  </si>
  <si>
    <t>Utility tie-ins to equipment</t>
  </si>
  <si>
    <t>Leak testing</t>
  </si>
  <si>
    <t>Pipe labeling</t>
  </si>
  <si>
    <t>Daily cleanup &amp; waste disposal</t>
  </si>
  <si>
    <t>Field install loose valves/instruments</t>
  </si>
  <si>
    <t>Fabricate pipe supports</t>
  </si>
  <si>
    <t>Ground pentane system</t>
  </si>
  <si>
    <t>Megger grounding test</t>
  </si>
  <si>
    <t>Insulate piping and indoor equipment</t>
  </si>
  <si>
    <t>Pipe testing per Hennecke procedure</t>
  </si>
  <si>
    <t>Leak test reports</t>
  </si>
  <si>
    <t>Red-line/as-built drawings</t>
  </si>
  <si>
    <t>Vendor document submission</t>
  </si>
  <si>
    <t>Fabrication acceptance</t>
  </si>
  <si>
    <t>Installation acceptance</t>
  </si>
  <si>
    <t>Paint acceptance</t>
  </si>
  <si>
    <t>Final technical compliance</t>
  </si>
  <si>
    <t>Follow Soprema safety rules</t>
  </si>
  <si>
    <t>Attend safety orientation</t>
  </si>
  <si>
    <t>Provide PPE</t>
  </si>
  <si>
    <t>Site access control</t>
  </si>
  <si>
    <t>Plant lighting</t>
  </si>
  <si>
    <t>Plant sprinklers</t>
  </si>
  <si>
    <t>Ventilation systems</t>
  </si>
  <si>
    <t>Civil/foundations</t>
  </si>
  <si>
    <t>Utility plant work</t>
  </si>
  <si>
    <t>Seismic design</t>
  </si>
  <si>
    <t>Electrical work</t>
  </si>
  <si>
    <t>Heat tracing</t>
  </si>
  <si>
    <t>Permitting</t>
  </si>
  <si>
    <t>Contractor-installed work unacceptable</t>
  </si>
  <si>
    <t>Contractor-caused damage</t>
  </si>
  <si>
    <t>Hennecke fabrication unacceptable</t>
  </si>
  <si>
    <t>X</t>
  </si>
  <si>
    <t>1.4</t>
  </si>
  <si>
    <t>1.5</t>
  </si>
  <si>
    <t>1.6</t>
  </si>
  <si>
    <t>1.7</t>
  </si>
  <si>
    <t>1.8</t>
  </si>
  <si>
    <t>1.10</t>
  </si>
  <si>
    <t>1.11</t>
  </si>
  <si>
    <t>Approval of Field modifications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</si>
  <si>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</si>
  <si>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</si>
  <si>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</si>
  <si>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</si>
  <si>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</si>
  <si>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</si>
  <si>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</si>
  <si>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</si>
  <si>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</si>
  <si>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</si>
  <si>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</si>
  <si>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</si>
  <si>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</si>
  <si>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</si>
  <si>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</si>
  <si>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</si>
  <si>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</si>
  <si>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</si>
  <si>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</si>
  <si>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</si>
  <si>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</si>
  <si>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</si>
  <si>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</si>
  <si>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</si>
  <si>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</si>
  <si>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</si>
  <si>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</si>
  <si>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</si>
  <si>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</si>
  <si>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</si>
  <si>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</si>
  <si>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</si>
  <si>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</si>
  <si>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</si>
  <si>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</si>
  <si>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</si>
  <si>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</si>
  <si>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</si>
  <si>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</si>
  <si>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</si>
  <si>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</si>
  <si>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</si>
  <si>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</si>
  <si>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</si>
  <si>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</si>
  <si>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</si>
  <si>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</si>
  <si>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</si>
  <si>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</si>
  <si>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</si>
  <si>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</si>
  <si>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</si>
  <si>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</si>
  <si>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4.1</t>
  </si>
  <si>
    <t>4.2</t>
  </si>
  <si>
    <t>4.3</t>
  </si>
  <si>
    <t>4.4</t>
  </si>
  <si>
    <t>4.5</t>
  </si>
  <si>
    <t>4.6</t>
  </si>
  <si>
    <t>4.7</t>
  </si>
  <si>
    <t>4.8</t>
  </si>
  <si>
    <t>5.1</t>
  </si>
  <si>
    <t>5.2</t>
  </si>
  <si>
    <t>5.3</t>
  </si>
  <si>
    <t>5.5</t>
  </si>
  <si>
    <t>Touch-up paint (paint supplied by Hennecke)</t>
  </si>
  <si>
    <t>6.1</t>
  </si>
  <si>
    <t>6.2</t>
  </si>
  <si>
    <t>6.3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</si>
  <si>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</si>
  <si>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</si>
  <si>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</si>
  <si>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</si>
  <si>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</si>
  <si>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</si>
  <si>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</si>
  <si>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</si>
  <si>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</si>
  <si>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5.0 Safety &amp; Compliance</t>
  </si>
  <si>
    <t>1.0 Design Responsibility</t>
  </si>
  <si>
    <t>2.0 Equipment &amp; Material Supply</t>
  </si>
  <si>
    <t>3.0 Installation &amp; Labor</t>
  </si>
  <si>
    <t>4.0 Testing, Documentation &amp; Acceptance</t>
  </si>
  <si>
    <t>6.0 Rework Responsibility</t>
  </si>
  <si>
    <t>7.0 Exclusions from scope</t>
  </si>
  <si>
    <t>Hardware for bulk tank trim assembly</t>
  </si>
  <si>
    <t>4.9</t>
  </si>
  <si>
    <t>TSSA/CRN piping compliance and registration</t>
  </si>
  <si>
    <t>Painting/priming interconnect pipe (Primer only for insulated pipe)</t>
  </si>
  <si>
    <t>Install tank trim</t>
  </si>
  <si>
    <t>Attach Hennecke equipment tags</t>
  </si>
  <si>
    <t>Responsible for Execution of Scope</t>
  </si>
  <si>
    <r>
      <rPr>
        <b/>
        <sz val="8.5"/>
        <rFont val="Calibri"/>
        <family val="1"/>
      </rPr>
      <t>LINE NUMBER</t>
    </r>
  </si>
  <si>
    <r>
      <rPr>
        <b/>
        <sz val="8.5"/>
        <rFont val="Calibri"/>
        <family val="1"/>
      </rPr>
      <t>CHEMICAL STREAM</t>
    </r>
  </si>
  <si>
    <r>
      <rPr>
        <b/>
        <sz val="8.5"/>
        <rFont val="Calibri"/>
        <family val="1"/>
      </rPr>
      <t>SIZE</t>
    </r>
  </si>
  <si>
    <r>
      <rPr>
        <b/>
        <sz val="8.5"/>
        <rFont val="Calibri"/>
        <family val="1"/>
      </rPr>
      <t>DESCRIPTION</t>
    </r>
  </si>
  <si>
    <r>
      <rPr>
        <b/>
        <sz val="8.5"/>
        <rFont val="Calibri"/>
        <family val="1"/>
      </rPr>
      <t>MATERIAL</t>
    </r>
  </si>
  <si>
    <r>
      <rPr>
        <b/>
        <sz val="8.5"/>
        <rFont val="Calibri"/>
        <family val="1"/>
      </rPr>
      <t>SCH</t>
    </r>
  </si>
  <si>
    <r>
      <rPr>
        <b/>
        <sz val="8.5"/>
        <rFont val="Calibri"/>
        <family val="1"/>
      </rPr>
      <t>FLANGE CLASS</t>
    </r>
  </si>
  <si>
    <r>
      <rPr>
        <b/>
        <sz val="8.5"/>
        <rFont val="Calibri"/>
        <family val="1"/>
      </rPr>
      <t>DESIGN TEMPERATURE</t>
    </r>
  </si>
  <si>
    <r>
      <rPr>
        <b/>
        <sz val="8.5"/>
        <rFont val="Calibri"/>
        <family val="1"/>
      </rPr>
      <t>OPERATING PRESSURE PSI</t>
    </r>
  </si>
  <si>
    <r>
      <rPr>
        <b/>
        <sz val="8.5"/>
        <rFont val="Calibri"/>
        <family val="1"/>
      </rPr>
      <t>MAX PRESSURE PSI</t>
    </r>
  </si>
  <si>
    <r>
      <rPr>
        <b/>
        <sz val="8.5"/>
        <rFont val="Calibri"/>
        <family val="1"/>
      </rPr>
      <t>TEST PRESSURE PSI (PNEUMATIC)</t>
    </r>
  </si>
  <si>
    <r>
      <rPr>
        <b/>
        <sz val="8.5"/>
        <rFont val="Calibri"/>
        <family val="1"/>
      </rPr>
      <t>RADIOGRAPHY</t>
    </r>
  </si>
  <si>
    <r>
      <rPr>
        <b/>
        <sz val="8.5"/>
        <rFont val="Calibri"/>
        <family val="1"/>
      </rPr>
      <t>HEAT TRACE</t>
    </r>
  </si>
  <si>
    <r>
      <rPr>
        <b/>
        <sz val="8.5"/>
        <rFont val="Calibri"/>
        <family val="1"/>
      </rPr>
      <t>INSULATION</t>
    </r>
  </si>
  <si>
    <r>
      <rPr>
        <sz val="8"/>
        <rFont val="Calibri"/>
        <family val="1"/>
      </rPr>
      <t>1.5" K-ACE 201 C2A01</t>
    </r>
  </si>
  <si>
    <r>
      <rPr>
        <sz val="8"/>
        <rFont val="Calibri"/>
        <family val="1"/>
      </rPr>
      <t>K-ACETATE</t>
    </r>
  </si>
  <si>
    <r>
      <rPr>
        <sz val="8"/>
        <rFont val="Calibri"/>
        <family val="1"/>
      </rPr>
      <t>1.5"</t>
    </r>
  </si>
  <si>
    <r>
      <rPr>
        <sz val="8"/>
        <rFont val="Calibri"/>
        <family val="1"/>
      </rPr>
      <t>TOTE UNLOAD</t>
    </r>
  </si>
  <si>
    <r>
      <rPr>
        <sz val="8"/>
        <rFont val="Calibri"/>
        <family val="1"/>
      </rPr>
      <t>SEE PIPE SPEC C2A01</t>
    </r>
  </si>
  <si>
    <r>
      <rPr>
        <sz val="8"/>
        <rFont val="Calibri"/>
        <family val="1"/>
      </rPr>
      <t>CS</t>
    </r>
  </si>
  <si>
    <r>
      <rPr>
        <sz val="8"/>
        <rFont val="Calibri"/>
        <family val="1"/>
      </rPr>
      <t>150 F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</si>
  <si>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</si>
  <si>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2" K-ACE 202 C2A01</t>
    </r>
  </si>
  <si>
    <r>
      <rPr>
        <sz val="8"/>
        <rFont val="Calibri"/>
        <family val="1"/>
      </rPr>
      <t>2"</t>
    </r>
  </si>
  <si>
    <r>
      <rPr>
        <sz val="8"/>
        <rFont val="Calibri"/>
        <family val="1"/>
      </rPr>
      <t>TANK FILL</t>
    </r>
  </si>
  <si>
    <r>
      <rPr>
        <sz val="8"/>
        <rFont val="Calibri"/>
        <family val="1"/>
      </rPr>
      <t>SUPPLY LINE</t>
    </r>
  </si>
  <si>
    <r>
      <rPr>
        <sz val="8"/>
        <rFont val="Calibri"/>
        <family val="1"/>
      </rPr>
      <t>1" AMINE 201 C2A01</t>
    </r>
  </si>
  <si>
    <r>
      <rPr>
        <sz val="8"/>
        <rFont val="Calibri"/>
        <family val="1"/>
      </rPr>
      <t>AMINE</t>
    </r>
  </si>
  <si>
    <r>
      <rPr>
        <sz val="8"/>
        <rFont val="Calibri"/>
        <family val="1"/>
      </rPr>
      <t>1"</t>
    </r>
  </si>
  <si>
    <r>
      <rPr>
        <sz val="8"/>
        <rFont val="Calibri"/>
        <family val="1"/>
      </rPr>
      <t>1.5" AMINE 202 C2A01</t>
    </r>
  </si>
  <si>
    <r>
      <rPr>
        <sz val="8"/>
        <rFont val="Calibri"/>
        <family val="1"/>
      </rPr>
      <t>2" SURF 201 C2A01</t>
    </r>
  </si>
  <si>
    <r>
      <rPr>
        <sz val="8"/>
        <rFont val="Calibri"/>
        <family val="1"/>
      </rPr>
      <t>SURFACTANT</t>
    </r>
  </si>
  <si>
    <r>
      <rPr>
        <sz val="8"/>
        <rFont val="Calibri"/>
        <family val="1"/>
      </rPr>
      <t>2" SURF 202 C2A01</t>
    </r>
  </si>
  <si>
    <r>
      <rPr>
        <sz val="8"/>
        <rFont val="Calibri"/>
        <family val="1"/>
      </rPr>
      <t>3" ISO 200 C2A01</t>
    </r>
  </si>
  <si>
    <r>
      <rPr>
        <sz val="8"/>
        <rFont val="Calibri"/>
        <family val="1"/>
      </rPr>
      <t>ISOCYANATE</t>
    </r>
  </si>
  <si>
    <r>
      <rPr>
        <sz val="8"/>
        <rFont val="Calibri"/>
        <family val="1"/>
      </rPr>
      <t>3"</t>
    </r>
  </si>
  <si>
    <r>
      <rPr>
        <sz val="8"/>
        <rFont val="Calibri"/>
        <family val="1"/>
      </rPr>
      <t>TRUCK UNLOAD</t>
    </r>
  </si>
  <si>
    <r>
      <rPr>
        <sz val="8"/>
        <rFont val="Calibri"/>
        <family val="1"/>
      </rPr>
      <t>3" ISO 201 C2A01</t>
    </r>
  </si>
  <si>
    <r>
      <rPr>
        <sz val="8"/>
        <rFont val="Calibri"/>
        <family val="1"/>
      </rPr>
      <t>RAIL CAR UNLOAD</t>
    </r>
  </si>
  <si>
    <r>
      <rPr>
        <sz val="8"/>
        <rFont val="Calibri"/>
        <family val="1"/>
      </rPr>
      <t>3" ISO 202 C2A01</t>
    </r>
  </si>
  <si>
    <r>
      <rPr>
        <sz val="8"/>
        <rFont val="Calibri"/>
        <family val="1"/>
      </rPr>
      <t>3" ISO 203 C2A01</t>
    </r>
  </si>
  <si>
    <r>
      <rPr>
        <sz val="8"/>
        <rFont val="Calibri"/>
        <family val="1"/>
      </rPr>
      <t>3" ISO 204 C2A01</t>
    </r>
  </si>
  <si>
    <r>
      <rPr>
        <sz val="8"/>
        <rFont val="Calibri"/>
        <family val="1"/>
      </rPr>
      <t>TRANSFER PUMP SUPPLY</t>
    </r>
  </si>
  <si>
    <r>
      <rPr>
        <sz val="8"/>
        <rFont val="Calibri"/>
        <family val="1"/>
      </rPr>
      <t>3" ISO 205 C2A01</t>
    </r>
  </si>
  <si>
    <r>
      <rPr>
        <sz val="8"/>
        <rFont val="Calibri"/>
        <family val="1"/>
      </rPr>
      <t>3" ISO 206 C2A01</t>
    </r>
  </si>
  <si>
    <r>
      <rPr>
        <sz val="8"/>
        <rFont val="Calibri"/>
        <family val="1"/>
      </rPr>
      <t>TANK RETURN</t>
    </r>
  </si>
  <si>
    <r>
      <rPr>
        <sz val="8"/>
        <rFont val="Calibri"/>
        <family val="1"/>
      </rPr>
      <t>4" KOCT 200 C2A01</t>
    </r>
  </si>
  <si>
    <r>
      <rPr>
        <sz val="8"/>
        <rFont val="Calibri"/>
        <family val="1"/>
      </rPr>
      <t>K OCTUATE</t>
    </r>
  </si>
  <si>
    <r>
      <rPr>
        <sz val="8"/>
        <rFont val="Calibri"/>
        <family val="1"/>
      </rPr>
      <t>4"</t>
    </r>
  </si>
  <si>
    <r>
      <rPr>
        <sz val="8"/>
        <rFont val="Calibri"/>
        <family val="1"/>
      </rPr>
      <t>4" KOCT 201 C2A01</t>
    </r>
  </si>
  <si>
    <r>
      <rPr>
        <sz val="8"/>
        <rFont val="Calibri"/>
        <family val="1"/>
      </rPr>
      <t>2" KOCT 202 C2A01</t>
    </r>
  </si>
  <si>
    <r>
      <rPr>
        <sz val="8"/>
        <rFont val="Calibri"/>
        <family val="1"/>
      </rPr>
      <t>3" KOCT 203 C2A01</t>
    </r>
  </si>
  <si>
    <r>
      <rPr>
        <sz val="8"/>
        <rFont val="Calibri"/>
        <family val="1"/>
      </rPr>
      <t>3" KOCT 205 C2A01</t>
    </r>
  </si>
  <si>
    <r>
      <rPr>
        <sz val="8"/>
        <rFont val="Calibri"/>
        <family val="1"/>
      </rPr>
      <t>4" POLYOL 200 C2A01</t>
    </r>
  </si>
  <si>
    <r>
      <rPr>
        <sz val="8"/>
        <rFont val="Calibri"/>
        <family val="1"/>
      </rPr>
      <t>POLYOL 1 AND 2</t>
    </r>
  </si>
  <si>
    <r>
      <rPr>
        <sz val="8"/>
        <rFont val="Calibri"/>
        <family val="1"/>
      </rPr>
      <t>4" POLYOL 201 C2A01</t>
    </r>
  </si>
  <si>
    <r>
      <rPr>
        <sz val="8"/>
        <rFont val="Calibri"/>
        <family val="1"/>
      </rPr>
      <t>4" POLYOL 203 C2A01</t>
    </r>
  </si>
  <si>
    <r>
      <rPr>
        <sz val="8"/>
        <rFont val="Calibri"/>
        <family val="1"/>
      </rPr>
      <t>3" POLYOL 204 C2A01</t>
    </r>
  </si>
  <si>
    <r>
      <rPr>
        <sz val="8"/>
        <rFont val="Calibri"/>
        <family val="1"/>
      </rPr>
      <t>POLYOL 1</t>
    </r>
  </si>
  <si>
    <r>
      <rPr>
        <sz val="8"/>
        <rFont val="Calibri"/>
        <family val="1"/>
      </rPr>
      <t>3" POLYOL 205 C2A01</t>
    </r>
  </si>
  <si>
    <r>
      <rPr>
        <sz val="8"/>
        <rFont val="Calibri"/>
        <family val="1"/>
      </rPr>
      <t>3" POLYOL 206 C2A01</t>
    </r>
  </si>
  <si>
    <r>
      <rPr>
        <sz val="8"/>
        <rFont val="Calibri"/>
        <family val="1"/>
      </rPr>
      <t>3" POLYOL 207 C2A01</t>
    </r>
  </si>
  <si>
    <r>
      <rPr>
        <sz val="8"/>
        <rFont val="Calibri"/>
        <family val="1"/>
      </rPr>
      <t>POLYOL 2</t>
    </r>
  </si>
  <si>
    <r>
      <rPr>
        <sz val="8"/>
        <rFont val="Calibri"/>
        <family val="1"/>
      </rPr>
      <t>3" POLYOL 208 C2A01</t>
    </r>
  </si>
  <si>
    <r>
      <rPr>
        <sz val="8"/>
        <rFont val="Calibri"/>
        <family val="1"/>
      </rPr>
      <t>3" POLYOL 209 C2A01</t>
    </r>
  </si>
  <si>
    <r>
      <rPr>
        <sz val="8"/>
        <rFont val="Calibri"/>
        <family val="1"/>
      </rPr>
      <t>2" TCPP 200 C2A01</t>
    </r>
  </si>
  <si>
    <r>
      <rPr>
        <sz val="8"/>
        <rFont val="Calibri"/>
        <family val="1"/>
      </rPr>
      <t>TCPP</t>
    </r>
  </si>
  <si>
    <r>
      <rPr>
        <sz val="8"/>
        <rFont val="Calibri"/>
        <family val="1"/>
      </rPr>
      <t>2" TCPP 201 C2A01</t>
    </r>
  </si>
  <si>
    <r>
      <rPr>
        <sz val="8"/>
        <rFont val="Calibri"/>
        <family val="1"/>
      </rPr>
      <t>1" TCPP 202 C2A01</t>
    </r>
  </si>
  <si>
    <r>
      <rPr>
        <sz val="8"/>
        <rFont val="Calibri"/>
        <family val="1"/>
      </rPr>
      <t>1" TCPP 203 C2A01</t>
    </r>
  </si>
  <si>
    <r>
      <rPr>
        <sz val="8"/>
        <rFont val="Calibri"/>
        <family val="1"/>
      </rPr>
      <t>1" TCPP 204 C2A01</t>
    </r>
  </si>
  <si>
    <r>
      <rPr>
        <sz val="8"/>
        <rFont val="Calibri"/>
        <family val="1"/>
      </rPr>
      <t>1 " PENT 15L01 CS</t>
    </r>
  </si>
  <si>
    <r>
      <rPr>
        <sz val="8"/>
        <rFont val="Calibri"/>
        <family val="1"/>
      </rPr>
      <t>N PENTANE CYCLO PENTANE VAPOR</t>
    </r>
  </si>
  <si>
    <r>
      <rPr>
        <sz val="8"/>
        <rFont val="Calibri"/>
        <family val="1"/>
      </rPr>
      <t>VAPOR EXCHANGE</t>
    </r>
  </si>
  <si>
    <r>
      <rPr>
        <sz val="8"/>
        <rFont val="Calibri"/>
        <family val="1"/>
      </rPr>
      <t>1 " PENT 15L02 CS</t>
    </r>
  </si>
  <si>
    <r>
      <rPr>
        <sz val="8"/>
        <rFont val="Calibri"/>
        <family val="1"/>
      </rPr>
      <t>2 " PENT 15L03 CS</t>
    </r>
  </si>
  <si>
    <r>
      <rPr>
        <sz val="8"/>
        <rFont val="Calibri"/>
        <family val="1"/>
      </rPr>
      <t>N PENTANE CYCLO PENTANE</t>
    </r>
  </si>
  <si>
    <r>
      <rPr>
        <sz val="8"/>
        <rFont val="Calibri"/>
        <family val="1"/>
      </rPr>
      <t>3 " PENT 15L04 CS</t>
    </r>
  </si>
  <si>
    <r>
      <rPr>
        <sz val="8"/>
        <rFont val="Calibri"/>
        <family val="1"/>
      </rPr>
      <t>RAIL UNLOAD</t>
    </r>
  </si>
  <si>
    <r>
      <rPr>
        <sz val="8"/>
        <rFont val="Calibri"/>
        <family val="1"/>
      </rPr>
      <t>3 " PENT 15L05 CS</t>
    </r>
  </si>
  <si>
    <r>
      <rPr>
        <sz val="8"/>
        <rFont val="Calibri"/>
        <family val="1"/>
      </rPr>
      <t>TANK FILL LINE</t>
    </r>
  </si>
  <si>
    <r>
      <rPr>
        <sz val="8"/>
        <rFont val="Calibri"/>
        <family val="1"/>
      </rPr>
      <t>3 " PENT 15L07 CS</t>
    </r>
  </si>
  <si>
    <r>
      <rPr>
        <sz val="8"/>
        <rFont val="Calibri"/>
        <family val="1"/>
      </rPr>
      <t>CYCLO PENTANE</t>
    </r>
  </si>
  <si>
    <r>
      <rPr>
        <sz val="8"/>
        <rFont val="Calibri"/>
        <family val="1"/>
      </rPr>
      <t>1 " PENT 15L08 CS</t>
    </r>
  </si>
  <si>
    <r>
      <rPr>
        <sz val="8"/>
        <rFont val="Calibri"/>
        <family val="1"/>
      </rPr>
      <t>RETURN LINE</t>
    </r>
  </si>
  <si>
    <r>
      <rPr>
        <sz val="8"/>
        <rFont val="Calibri"/>
        <family val="1"/>
      </rPr>
      <t>1 " PENT 15L09 CS</t>
    </r>
  </si>
  <si>
    <r>
      <rPr>
        <sz val="8"/>
        <rFont val="Calibri"/>
        <family val="1"/>
      </rPr>
      <t>PLANT SUPPLY</t>
    </r>
  </si>
  <si>
    <r>
      <rPr>
        <sz val="8"/>
        <rFont val="Calibri"/>
        <family val="1"/>
      </rPr>
      <t>1 " PENT 15L10 CS</t>
    </r>
  </si>
  <si>
    <r>
      <rPr>
        <sz val="8"/>
        <rFont val="Calibri"/>
        <family val="1"/>
      </rPr>
      <t>PLANT RETURN</t>
    </r>
  </si>
  <si>
    <r>
      <rPr>
        <sz val="8"/>
        <rFont val="Calibri"/>
        <family val="1"/>
      </rPr>
      <t>1 " PENT 16L01 CS</t>
    </r>
  </si>
  <si>
    <r>
      <rPr>
        <sz val="8"/>
        <rFont val="Calibri"/>
        <family val="1"/>
      </rPr>
      <t>N PENTANE</t>
    </r>
  </si>
  <si>
    <r>
      <rPr>
        <sz val="8"/>
        <rFont val="Calibri"/>
        <family val="1"/>
      </rPr>
      <t>1 " PENT 16L04 CS</t>
    </r>
  </si>
  <si>
    <r>
      <rPr>
        <sz val="8"/>
        <rFont val="Calibri"/>
        <family val="1"/>
      </rPr>
      <t>3 " PENT 16L05 CS</t>
    </r>
  </si>
  <si>
    <t>P&amp;ID DWG # FLOW REFERENCE</t>
  </si>
  <si>
    <t>PID-Additives-0001 R1</t>
  </si>
  <si>
    <t># OF ELBOWS</t>
  </si>
  <si>
    <t>LENGTH OF PIPE (FT)</t>
  </si>
  <si>
    <t># OF THREADED CXNS (TO VALVE/EQUIPMENT TIE-POINTS)</t>
  </si>
  <si>
    <t># SOC WELD CXNS (TO VALVE/EQUIPMENT TIE-POINTS)</t>
  </si>
  <si>
    <t># OF FLANGES CXNS (TO VALVE/EQUIPMENT TIE-POINTS)</t>
  </si>
  <si>
    <t>TANK TO TRANSFER PUMP SKID</t>
  </si>
  <si>
    <t>TRANSFER PUMP SKID TO HOMS DAYTANK</t>
  </si>
  <si>
    <t>-</t>
  </si>
  <si>
    <t>1.5"</t>
  </si>
  <si>
    <t>CA UTILITY</t>
  </si>
  <si>
    <t>COMPRESSED AIR</t>
  </si>
  <si>
    <t>CA TO K-ACETATE UNLOAD PUMP</t>
  </si>
  <si>
    <t>CA TO AMINE UNLOAD PUMP</t>
  </si>
  <si>
    <t>CA TO SURF UNLOAD PUMP</t>
  </si>
  <si>
    <t>MISC FITTINGS (NOT DETAILED IN PREVIOUS COLUMNS)</t>
  </si>
  <si>
    <t>0.5"</t>
  </si>
  <si>
    <t>CA TO ADDITIVE TANKS</t>
  </si>
  <si>
    <t># OF EQUAL TEES</t>
  </si>
  <si>
    <t>QTY</t>
  </si>
  <si>
    <t>Fitting Detail</t>
  </si>
  <si>
    <t xml:space="preserve"> 1.5" CAMLOCK ADAPTER</t>
  </si>
  <si>
    <t>1.5" X 0.5" REDUCING TEE</t>
  </si>
  <si>
    <t>0.5" SOC WELD TO VALVE</t>
  </si>
  <si>
    <t>2" X 1.5" REDUCER</t>
  </si>
  <si>
    <t>1.5" CAMLOCK ADAPTER</t>
  </si>
  <si>
    <t xml:space="preserve"> 1.5" X 0.5" REDUCING TEE</t>
  </si>
  <si>
    <t>3" X 2" REDUCER</t>
  </si>
  <si>
    <t>3" X 1" REDUCERS</t>
  </si>
  <si>
    <t>1" SOC WELD TO VALVE</t>
  </si>
  <si>
    <t>0.75"</t>
  </si>
  <si>
    <t>CA TO TRUCK ISO UNLOAD BOX</t>
  </si>
  <si>
    <t>CA TO ISO RAIL UNLOAD</t>
  </si>
  <si>
    <t>CA HEADER TO ISO UNLOAD</t>
  </si>
  <si>
    <t xml:space="preserve"> BRANCHES TO PNEUMATIC VALVE ACTUATORS</t>
  </si>
  <si>
    <t>BRANCH TO PNEUMATIC VALVE ACTUATOR</t>
  </si>
  <si>
    <t>CA HEADER TO ISO TANKS</t>
  </si>
  <si>
    <t>4" X 3" REDUCER</t>
  </si>
  <si>
    <t>2" X 3" REDUCER</t>
  </si>
  <si>
    <t>2" X 1" REDUCER</t>
  </si>
  <si>
    <t>CA HEADER TO K-OCT TANKS</t>
  </si>
  <si>
    <t>CA HEADER TO POLYOL UNLOAD</t>
  </si>
  <si>
    <t>CA HEADER TO POLYOL TANKS</t>
  </si>
  <si>
    <t>CA TO TRUCK POLYOL UNLOAD BOX</t>
  </si>
  <si>
    <t>CA TO POLYOL RAIL UNLOAD</t>
  </si>
  <si>
    <t>2" X 1/2" REDUCING TEE</t>
  </si>
  <si>
    <t>1/2" SOCKET WELD TO VALVE</t>
  </si>
  <si>
    <t>2" X 1" REDUCING TEE</t>
  </si>
  <si>
    <t>2" FLANGE</t>
  </si>
  <si>
    <t>CA HEADER TO TCPP TANK</t>
  </si>
  <si>
    <t>1" X 1/2" REDUCERS</t>
  </si>
  <si>
    <t>1/2" SOCKET WELD TO VALVES</t>
  </si>
  <si>
    <t>3" FLANGES</t>
  </si>
  <si>
    <t># OF SOCKET WELD UNIONS</t>
  </si>
  <si>
    <t>1" X 1/4" REDUCER</t>
  </si>
  <si>
    <t>1/4" SOC WELD CONNECTION TO VALVE</t>
  </si>
  <si>
    <t>1"</t>
  </si>
  <si>
    <t>1 " PENT 16L02 CS</t>
  </si>
  <si>
    <t>1.5" K-ACE 203 C2A01</t>
  </si>
  <si>
    <t>1.5" K-ACE 204 C2A01</t>
  </si>
  <si>
    <t>1" AMINE 203 C2A01</t>
  </si>
  <si>
    <t>1" AMINE 204 C2A01</t>
  </si>
  <si>
    <t>2" SURF 203 C2A01</t>
  </si>
  <si>
    <t>2" SURF 204 C2A01</t>
  </si>
  <si>
    <t>3/4" N2 15L09 CS</t>
  </si>
  <si>
    <t>3/4" N2 15L10 CS</t>
  </si>
  <si>
    <t>NITROGEN</t>
  </si>
  <si>
    <t>3/4"</t>
  </si>
  <si>
    <t>NITROGEN TO CYCLOPENTANE TANK 025 01 INLET LINE</t>
  </si>
  <si>
    <t>NITROGEN TO CYCLOPENTANE TANK 025 01</t>
  </si>
  <si>
    <t>NITROGEN TO N-PENTANE TANK 026 01</t>
  </si>
  <si>
    <t>NITROGEN TO N-PENTANE TANK 026 01 INLET LINE</t>
  </si>
  <si>
    <t>1.5" N2 15L11 CS</t>
  </si>
  <si>
    <t>NITROGEN HEADER FROM PLANT</t>
  </si>
  <si>
    <t>1.5" X 3/4" REDUCERS</t>
  </si>
  <si>
    <t>3/4" X 1/2" REDCUER</t>
  </si>
  <si>
    <t>1" X 3/4" REDUCER</t>
  </si>
  <si>
    <t>PID-ISO-0001 R1
PID-ISO-0002 R1</t>
  </si>
  <si>
    <t>PID-KOCT-0001 R1</t>
  </si>
  <si>
    <t>PID-POLY-0001 R1
PID-POLY-0002 R1
PID-POLY-0003 R1</t>
  </si>
  <si>
    <t>PID-TCPP-0001 R1</t>
  </si>
  <si>
    <t>PID-PENTANE-0001
PID-PENTANE-CYCLO-0002 R1
PID-PENTANE-N-0003 R1</t>
  </si>
  <si>
    <t xml:space="preserve">2" FLANGE
</t>
  </si>
  <si>
    <t>2" X 1.5" REDUCING TEE</t>
  </si>
  <si>
    <t>Zone</t>
  </si>
  <si>
    <t>Additives</t>
  </si>
  <si>
    <t xml:space="preserve">Currency </t>
  </si>
  <si>
    <t>Soprema Tillsonburg Bulk Chemical Piping Installation</t>
  </si>
  <si>
    <t>Bid Summary Sheet</t>
  </si>
  <si>
    <t>Utility Branch tees within X ft of destinations (Line lengths and fittings as per attached line list)</t>
  </si>
  <si>
    <t>Material Price</t>
  </si>
  <si>
    <t>Labour Price</t>
  </si>
  <si>
    <t>Quoted Price</t>
  </si>
  <si>
    <t>Total Price</t>
  </si>
  <si>
    <t>ISOCYANATE</t>
  </si>
  <si>
    <t>Scope Details</t>
  </si>
  <si>
    <t>Contractor Name:</t>
  </si>
  <si>
    <t>All contractor-responsible scope items as per attached Scope Breakdown and line list for "Isocyanate" portion of the process</t>
  </si>
  <si>
    <t>K-OCTUATE</t>
  </si>
  <si>
    <t>POLYOL</t>
  </si>
  <si>
    <t>TCPP</t>
  </si>
  <si>
    <t>PENTANE</t>
  </si>
  <si>
    <t>All contractor-responsible scope items as per attached Scope Breakdown and line list for "TCPP" portion of the process</t>
  </si>
  <si>
    <t>All contractor-responsible scope items as per attached Scope Breakdown and line list for "POLYOL" portion of the process</t>
  </si>
  <si>
    <t>All contractor-responsible scope items as per attached Scope Breakdown and line list for "K-OCTUATE" portion of the process</t>
  </si>
  <si>
    <t>All contractor-responsible scope items as per attached Scope Breakdown and line list for "PENTANE" portion of the process</t>
  </si>
  <si>
    <t>All contractor-responsible scope items as per attached Scope Breakdown  and line list for "Additives" portion of the process</t>
  </si>
  <si>
    <t>1.5" WATER 2202 G</t>
  </si>
  <si>
    <t>1.5" WATER 2203 G</t>
  </si>
  <si>
    <t>COOLING WATER</t>
  </si>
  <si>
    <t>COOLING WATER TO ISO HX</t>
  </si>
  <si>
    <t>COOLING WATER FROM ISO HX</t>
  </si>
  <si>
    <t>COOLING WATER SUPPLY</t>
  </si>
  <si>
    <t>COOLING WATER RETURN</t>
  </si>
  <si>
    <t>COOLING WATER SUPPLY TO TCU</t>
  </si>
  <si>
    <t>COOLING WATER RETURN FROM TCU</t>
  </si>
  <si>
    <t>COOLING WATER TO POLY 1 HX</t>
  </si>
  <si>
    <t>COOLING WATER FROM POLY 1 HX</t>
  </si>
  <si>
    <t>COOLING WATER TO POLY 2 HX</t>
  </si>
  <si>
    <t>COOLING WATER FROM POLY 2 HX</t>
  </si>
  <si>
    <t>304 SS</t>
  </si>
  <si>
    <t>RIGGING</t>
  </si>
  <si>
    <t>Rigging of Rail Unload Platforms</t>
  </si>
  <si>
    <t>EQUIPMENT RENTALS</t>
  </si>
  <si>
    <t>Include price for all rental equipment budgeted.</t>
  </si>
  <si>
    <t>POWDER-COATED BLUE-T5 ALUMINUM (KAESER SmartPipe+)</t>
  </si>
  <si>
    <t>POWDER-COATED GREEN-T5 ALUMINUM (KAESER SmartPipe+)</t>
  </si>
  <si>
    <t>Total:</t>
  </si>
  <si>
    <t>*NOTE: PROVIDED FITTING ESTIMATES AND PIPE LENGTHS ARE WITHIN +/- 10%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</si>
</sst>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</font>
    <font>
      <sz val="8"/>
      <name val="Calibri"/>
      <family val="1"/>
    </font>
    <font>
      <b/>
      <sz val="8.5"/>
      <name val="Calibri"/>
      <family val="2"/>
    </font>
    <font>
      <b/>
      <sz val="8.5"/>
      <name val="Calibri"/>
      <family val="1"/>
    </font>
    <font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9" fontId="9" fillId="0" borderId="0" applyFont="0" applyFill="0" applyBorder="0" applyAlignment="0" applyProtection="0"/>
    <xf numFmtId="0" fontId="12" fillId="0" borderId="0"/>
    <xf numFmtId="0" fontId="12" fillId="0" borderId="0"/>
  </cellStyleXfs>
  <cellXfs count="2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0" xfId="1" applyAlignment="1">
      <alignment horizontal="left" vertical="top"/>
    </xf>
    <xf numFmtId="0" fontId="4" fillId="0" borderId="7" xfId="1" applyFont="1" applyBorder="1" applyAlignment="1">
      <alignment horizontal="center" vertical="top" wrapText="1"/>
    </xf>
    <xf numFmtId="1" fontId="8" fillId="0" borderId="7" xfId="1" applyNumberFormat="1" applyFont="1" applyBorder="1" applyAlignment="1">
      <alignment horizontal="center" vertical="top" shrinkToFit="1"/>
    </xf>
    <xf numFmtId="9" fontId="8" fillId="0" borderId="7" xfId="1" applyNumberFormat="1" applyFont="1" applyBorder="1" applyAlignment="1">
      <alignment horizontal="center" vertical="top" shrinkToFit="1"/>
    </xf>
    <xf numFmtId="0" fontId="3" fillId="0" borderId="7" xfId="1" applyBorder="1" applyAlignment="1">
      <alignment horizontal="left" wrapText="1"/>
    </xf>
    <xf numFmtId="164" fontId="8" fillId="0" borderId="7" xfId="1" applyNumberFormat="1" applyFont="1" applyBorder="1" applyAlignment="1">
      <alignment horizontal="center" vertical="top" shrinkToFit="1"/>
    </xf>
    <xf numFmtId="2" fontId="8" fillId="0" borderId="7" xfId="1" applyNumberFormat="1" applyFont="1" applyBorder="1" applyAlignment="1">
      <alignment horizontal="center" vertical="top" shrinkToFit="1"/>
    </xf>
    <xf numFmtId="0" fontId="3" fillId="0" borderId="0" xfId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 shrinkToFit="1"/>
    </xf>
    <xf numFmtId="9" fontId="8" fillId="0" borderId="1" xfId="1" applyNumberFormat="1" applyFont="1" applyBorder="1" applyAlignment="1">
      <alignment horizontal="center" vertical="top" shrinkToFit="1"/>
    </xf>
    <xf numFmtId="0" fontId="3" fillId="0" borderId="1" xfId="1" applyBorder="1" applyAlignment="1">
      <alignment horizontal="left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center" shrinkToFit="1"/>
    </xf>
    <xf numFmtId="0" fontId="3" fillId="0" borderId="0" xfId="1" applyAlignment="1">
      <alignment horizontal="left" vertical="center"/>
    </xf>
    <xf numFmtId="9" fontId="8" fillId="0" borderId="1" xfId="1" applyNumberFormat="1" applyFont="1" applyBorder="1" applyAlignment="1">
      <alignment horizontal="center" vertical="center" shrinkToFit="1"/>
    </xf>
    <xf numFmtId="0" fontId="3" fillId="0" borderId="1" xfId="1" applyBorder="1" applyAlignment="1">
      <alignment horizontal="left" vertical="center" wrapText="1"/>
    </xf>
    <xf numFmtId="0" fontId="4" fillId="0" borderId="1" xfId="1" quotePrefix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1" fontId="8" fillId="0" borderId="7" xfId="1" applyNumberFormat="1" applyFont="1" applyBorder="1" applyAlignment="1">
      <alignment horizontal="center" vertical="center" shrinkToFit="1"/>
    </xf>
    <xf numFmtId="0" fontId="4" fillId="0" borderId="10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top" wrapText="1"/>
    </xf>
    <xf numFmtId="0" fontId="4" fillId="0" borderId="23" xfId="1" applyFont="1" applyBorder="1" applyAlignment="1">
      <alignment horizontal="center" vertical="center" wrapText="1"/>
    </xf>
    <xf numFmtId="1" fontId="8" fillId="0" borderId="23" xfId="1" applyNumberFormat="1" applyFont="1" applyBorder="1" applyAlignment="1">
      <alignment horizontal="center" vertical="center" shrinkToFit="1"/>
    </xf>
    <xf numFmtId="0" fontId="4" fillId="0" borderId="24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26" xfId="1" quotePrefix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top" wrapText="1"/>
    </xf>
    <xf numFmtId="0" fontId="4" fillId="0" borderId="29" xfId="1" applyFont="1" applyBorder="1" applyAlignment="1">
      <alignment horizontal="center" vertical="top" wrapText="1"/>
    </xf>
    <xf numFmtId="1" fontId="8" fillId="0" borderId="29" xfId="1" applyNumberFormat="1" applyFont="1" applyBorder="1" applyAlignment="1">
      <alignment horizontal="center" vertical="top" shrinkToFit="1"/>
    </xf>
    <xf numFmtId="0" fontId="3" fillId="0" borderId="29" xfId="1" applyBorder="1" applyAlignment="1">
      <alignment horizontal="left" wrapText="1"/>
    </xf>
    <xf numFmtId="0" fontId="4" fillId="0" borderId="29" xfId="1" quotePrefix="1" applyFont="1" applyBorder="1" applyAlignment="1">
      <alignment horizontal="center" vertical="top" wrapText="1"/>
    </xf>
    <xf numFmtId="0" fontId="3" fillId="0" borderId="23" xfId="1" applyBorder="1" applyAlignment="1">
      <alignment horizontal="left" vertical="top"/>
    </xf>
    <xf numFmtId="0" fontId="6" fillId="0" borderId="29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top" wrapText="1"/>
    </xf>
    <xf numFmtId="0" fontId="4" fillId="0" borderId="35" xfId="1" applyFont="1" applyBorder="1" applyAlignment="1">
      <alignment horizontal="center" vertical="top" wrapText="1"/>
    </xf>
    <xf numFmtId="1" fontId="8" fillId="0" borderId="35" xfId="1" applyNumberFormat="1" applyFont="1" applyBorder="1" applyAlignment="1">
      <alignment horizontal="center" vertical="top" shrinkToFit="1"/>
    </xf>
    <xf numFmtId="164" fontId="8" fillId="0" borderId="35" xfId="1" applyNumberFormat="1" applyFont="1" applyBorder="1" applyAlignment="1">
      <alignment horizontal="center" vertical="top" shrinkToFit="1"/>
    </xf>
    <xf numFmtId="9" fontId="8" fillId="0" borderId="35" xfId="1" applyNumberFormat="1" applyFont="1" applyBorder="1" applyAlignment="1">
      <alignment horizontal="center" vertical="top" shrinkToFit="1"/>
    </xf>
    <xf numFmtId="0" fontId="4" fillId="0" borderId="37" xfId="1" applyFont="1" applyBorder="1" applyAlignment="1">
      <alignment horizontal="center" vertical="center" wrapText="1"/>
    </xf>
    <xf numFmtId="0" fontId="3" fillId="0" borderId="35" xfId="1" applyBorder="1" applyAlignment="1">
      <alignment horizontal="left" wrapText="1"/>
    </xf>
    <xf numFmtId="0" fontId="4" fillId="0" borderId="35" xfId="1" applyFont="1" applyBorder="1" applyAlignment="1">
      <alignment horizontal="center" vertical="center" wrapText="1"/>
    </xf>
    <xf numFmtId="1" fontId="8" fillId="0" borderId="35" xfId="1" applyNumberFormat="1" applyFont="1" applyBorder="1" applyAlignment="1">
      <alignment horizontal="center" vertical="center" shrinkToFit="1"/>
    </xf>
    <xf numFmtId="0" fontId="4" fillId="0" borderId="36" xfId="1" applyFont="1" applyBorder="1" applyAlignment="1">
      <alignment horizontal="center" vertical="center" wrapText="1"/>
    </xf>
    <xf numFmtId="0" fontId="4" fillId="0" borderId="42" xfId="1" quotePrefix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4" fillId="0" borderId="6" xfId="1" quotePrefix="1" applyFont="1" applyBorder="1" applyAlignment="1">
      <alignment horizontal="center" vertical="center" wrapTex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9" xfId="1" quotePrefix="1" applyFont="1" applyBorder="1" applyAlignment="1">
      <alignment horizontal="center" vertical="center" wrapText="1"/>
    </xf>
    <xf numFmtId="0" fontId="4" fillId="0" borderId="23" xfId="1" quotePrefix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  <xf numFmtId="44" fontId="13" fillId="0" borderId="1" xfId="3" applyNumberFormat="1" applyFont="1" applyBorder="1" applyAlignment="1" applyProtection="1">
      <alignment vertical="center"/>
      <protection locked="0"/>
    </xf>
    <xf numFmtId="44" fontId="13" fillId="0" borderId="49" xfId="3" applyNumberFormat="1" applyFont="1" applyBorder="1" applyAlignment="1">
      <alignment vertical="center"/>
    </xf>
    <xf numFmtId="44" fontId="0" fillId="0" borderId="1" xfId="0" applyNumberFormat="1" applyBorder="1" applyAlignment="1" applyProtection="1">
      <alignment vertical="center"/>
      <protection locked="0"/>
    </xf>
    <xf numFmtId="8" fontId="0" fillId="0" borderId="1" xfId="0" applyNumberFormat="1" applyBorder="1" applyAlignment="1" applyProtection="1">
      <alignment vertical="center"/>
      <protection locked="0"/>
    </xf>
    <xf numFmtId="9" fontId="0" fillId="0" borderId="0" xfId="2" applyFont="1" applyAlignment="1" applyProtection="1">
      <alignment vertical="center"/>
    </xf>
    <xf numFmtId="44" fontId="0" fillId="0" borderId="29" xfId="0" applyNumberFormat="1" applyBorder="1" applyAlignment="1" applyProtection="1">
      <alignment vertical="center"/>
      <protection locked="0"/>
    </xf>
    <xf numFmtId="44" fontId="0" fillId="0" borderId="23" xfId="0" applyNumberFormat="1" applyBorder="1" applyAlignment="1">
      <alignment vertical="center"/>
    </xf>
    <xf numFmtId="0" fontId="4" fillId="0" borderId="6" xfId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4" xfId="1" applyFont="1" applyBorder="1" applyAlignment="1">
      <alignment horizontal="center" vertical="top" wrapText="1"/>
    </xf>
    <xf numFmtId="0" fontId="4" fillId="0" borderId="10" xfId="1" applyFont="1" applyBorder="1" applyAlignment="1">
      <alignment horizontal="center" vertical="top" wrapText="1"/>
    </xf>
    <xf numFmtId="1" fontId="8" fillId="0" borderId="10" xfId="1" applyNumberFormat="1" applyFont="1" applyBorder="1" applyAlignment="1">
      <alignment horizontal="center" vertical="top" shrinkToFit="1"/>
    </xf>
    <xf numFmtId="164" fontId="8" fillId="0" borderId="10" xfId="1" applyNumberFormat="1" applyFont="1" applyBorder="1" applyAlignment="1">
      <alignment horizontal="center" vertical="top" shrinkToFit="1"/>
    </xf>
    <xf numFmtId="2" fontId="8" fillId="0" borderId="10" xfId="1" applyNumberFormat="1" applyFont="1" applyBorder="1" applyAlignment="1">
      <alignment horizontal="center" vertical="top" shrinkToFit="1"/>
    </xf>
    <xf numFmtId="9" fontId="8" fillId="0" borderId="10" xfId="1" applyNumberFormat="1" applyFont="1" applyBorder="1" applyAlignment="1">
      <alignment horizontal="center" vertical="top" shrinkToFit="1"/>
    </xf>
    <xf numFmtId="0" fontId="3" fillId="0" borderId="10" xfId="1" applyBorder="1" applyAlignment="1">
      <alignment horizontal="left" wrapText="1"/>
    </xf>
    <xf numFmtId="0" fontId="4" fillId="0" borderId="17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1" fontId="8" fillId="0" borderId="2" xfId="1" applyNumberFormat="1" applyFont="1" applyBorder="1" applyAlignment="1">
      <alignment horizontal="center" vertical="top" shrinkToFit="1"/>
    </xf>
    <xf numFmtId="0" fontId="3" fillId="0" borderId="2" xfId="1" applyBorder="1" applyAlignment="1">
      <alignment horizontal="left" wrapText="1"/>
    </xf>
    <xf numFmtId="164" fontId="8" fillId="0" borderId="1" xfId="1" applyNumberFormat="1" applyFont="1" applyBorder="1" applyAlignment="1">
      <alignment horizontal="center" vertical="top" shrinkToFit="1"/>
    </xf>
    <xf numFmtId="2" fontId="8" fillId="0" borderId="1" xfId="1" applyNumberFormat="1" applyFont="1" applyBorder="1" applyAlignment="1">
      <alignment horizontal="center" vertical="top" shrinkToFit="1"/>
    </xf>
    <xf numFmtId="0" fontId="4" fillId="0" borderId="29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top" wrapText="1"/>
    </xf>
    <xf numFmtId="0" fontId="4" fillId="0" borderId="51" xfId="1" quotePrefix="1" applyFont="1" applyBorder="1" applyAlignment="1">
      <alignment horizontal="center" vertical="center" wrapText="1"/>
    </xf>
    <xf numFmtId="0" fontId="4" fillId="0" borderId="52" xfId="1" applyFont="1" applyBorder="1" applyAlignment="1">
      <alignment horizontal="center" vertical="center" wrapText="1"/>
    </xf>
    <xf numFmtId="0" fontId="4" fillId="0" borderId="55" xfId="1" quotePrefix="1" applyFont="1" applyBorder="1" applyAlignment="1">
      <alignment horizontal="center" vertical="center" wrapText="1"/>
    </xf>
    <xf numFmtId="0" fontId="4" fillId="0" borderId="0" xfId="1" quotePrefix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9" fontId="8" fillId="0" borderId="10" xfId="1" applyNumberFormat="1" applyFont="1" applyBorder="1" applyAlignment="1">
      <alignment horizontal="center" vertical="center" shrinkToFit="1"/>
    </xf>
    <xf numFmtId="9" fontId="8" fillId="0" borderId="8" xfId="1" applyNumberFormat="1" applyFont="1" applyBorder="1" applyAlignment="1">
      <alignment horizontal="center" vertical="center" shrinkToFit="1"/>
    </xf>
    <xf numFmtId="0" fontId="3" fillId="0" borderId="10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" fontId="8" fillId="0" borderId="6" xfId="1" applyNumberFormat="1" applyFont="1" applyBorder="1" applyAlignment="1">
      <alignment horizontal="center" vertical="center" shrinkToFit="1"/>
    </xf>
    <xf numFmtId="1" fontId="8" fillId="0" borderId="9" xfId="1" applyNumberFormat="1" applyFont="1" applyBorder="1" applyAlignment="1">
      <alignment horizontal="center" vertical="center" shrinkToFit="1"/>
    </xf>
    <xf numFmtId="1" fontId="8" fillId="0" borderId="2" xfId="1" applyNumberFormat="1" applyFont="1" applyBorder="1" applyAlignment="1">
      <alignment horizontal="center" vertical="center" shrinkToFit="1"/>
    </xf>
    <xf numFmtId="9" fontId="8" fillId="0" borderId="6" xfId="1" applyNumberFormat="1" applyFont="1" applyBorder="1" applyAlignment="1">
      <alignment horizontal="center" vertical="center" shrinkToFit="1"/>
    </xf>
    <xf numFmtId="9" fontId="8" fillId="0" borderId="9" xfId="1" applyNumberFormat="1" applyFont="1" applyBorder="1" applyAlignment="1">
      <alignment horizontal="center" vertical="center" shrinkToFit="1"/>
    </xf>
    <xf numFmtId="9" fontId="8" fillId="0" borderId="2" xfId="1" applyNumberFormat="1" applyFont="1" applyBorder="1" applyAlignment="1">
      <alignment horizontal="center" vertical="center" shrinkToFit="1"/>
    </xf>
    <xf numFmtId="0" fontId="3" fillId="0" borderId="6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4" fillId="0" borderId="6" xfId="1" quotePrefix="1" applyFont="1" applyBorder="1" applyAlignment="1">
      <alignment horizontal="center" vertical="center" wrapText="1"/>
    </xf>
    <xf numFmtId="0" fontId="4" fillId="0" borderId="9" xfId="1" quotePrefix="1" applyFont="1" applyBorder="1" applyAlignment="1">
      <alignment horizontal="center" vertical="center" wrapText="1"/>
    </xf>
    <xf numFmtId="0" fontId="4" fillId="0" borderId="2" xfId="1" quotePrefix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4" fillId="0" borderId="41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1" fontId="8" fillId="0" borderId="10" xfId="1" applyNumberFormat="1" applyFont="1" applyBorder="1" applyAlignment="1">
      <alignment horizontal="center" vertical="center" shrinkToFit="1"/>
    </xf>
    <xf numFmtId="1" fontId="8" fillId="0" borderId="8" xfId="1" applyNumberFormat="1" applyFont="1" applyBorder="1" applyAlignment="1">
      <alignment horizontal="center" vertical="center" shrinkToFit="1"/>
    </xf>
    <xf numFmtId="0" fontId="4" fillId="0" borderId="29" xfId="1" quotePrefix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9" fontId="8" fillId="0" borderId="39" xfId="1" applyNumberFormat="1" applyFont="1" applyBorder="1" applyAlignment="1">
      <alignment horizontal="center" vertical="center" shrinkToFit="1"/>
    </xf>
    <xf numFmtId="0" fontId="3" fillId="0" borderId="39" xfId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 wrapText="1"/>
    </xf>
    <xf numFmtId="0" fontId="4" fillId="0" borderId="22" xfId="1" quotePrefix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4" fillId="0" borderId="23" xfId="1" quotePrefix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top" wrapText="1"/>
    </xf>
    <xf numFmtId="1" fontId="8" fillId="0" borderId="39" xfId="1" applyNumberFormat="1" applyFont="1" applyBorder="1" applyAlignment="1">
      <alignment horizontal="center" vertical="center" shrinkToFit="1"/>
    </xf>
    <xf numFmtId="0" fontId="4" fillId="0" borderId="20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15" xfId="1" quotePrefix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4" fillId="0" borderId="53" xfId="1" quotePrefix="1" applyFont="1" applyBorder="1" applyAlignment="1">
      <alignment horizontal="center" vertical="center" wrapText="1"/>
    </xf>
    <xf numFmtId="0" fontId="4" fillId="0" borderId="54" xfId="1" quotePrefix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 wrapText="1"/>
    </xf>
    <xf numFmtId="0" fontId="6" fillId="0" borderId="23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1" fontId="8" fillId="0" borderId="22" xfId="1" applyNumberFormat="1" applyFont="1" applyBorder="1" applyAlignment="1">
      <alignment horizontal="center" vertical="center" shrinkToFit="1"/>
    </xf>
    <xf numFmtId="9" fontId="8" fillId="0" borderId="22" xfId="1" applyNumberFormat="1" applyFont="1" applyBorder="1" applyAlignment="1">
      <alignment horizontal="center" vertical="center" shrinkToFit="1"/>
    </xf>
    <xf numFmtId="0" fontId="3" fillId="0" borderId="22" xfId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0" xfId="0" applyFont="1" applyBorder="1" applyAlignment="1">
      <alignment horizontal="right" vertical="center"/>
    </xf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13" fillId="0" borderId="3" xfId="3" applyFont="1" applyBorder="1" applyAlignment="1" applyProtection="1">
      <alignment horizontal="left" vertical="center" wrapText="1"/>
      <protection locked="0"/>
    </xf>
    <xf numFmtId="0" fontId="13" fillId="0" borderId="5" xfId="3" applyFont="1" applyBorder="1" applyAlignment="1" applyProtection="1">
      <alignment horizontal="left" vertical="center" wrapText="1"/>
      <protection locked="0"/>
    </xf>
    <xf numFmtId="0" fontId="14" fillId="0" borderId="3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5" fillId="0" borderId="3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5" fillId="0" borderId="1" xfId="1" quotePrefix="1" applyFont="1" applyFill="1" applyBorder="1" applyAlignment="1">
      <alignment horizontal="center" vertical="top" wrapText="1"/>
    </xf>
    <xf numFmtId="1" fontId="8" fillId="0" borderId="1" xfId="1" applyNumberFormat="1" applyFont="1" applyFill="1" applyBorder="1" applyAlignment="1">
      <alignment horizontal="center" vertical="top" shrinkToFit="1"/>
    </xf>
    <xf numFmtId="0" fontId="5" fillId="0" borderId="1" xfId="1" applyFont="1" applyFill="1" applyBorder="1" applyAlignment="1">
      <alignment horizontal="center" vertical="top" wrapText="1"/>
    </xf>
    <xf numFmtId="0" fontId="4" fillId="0" borderId="18" xfId="1" applyFont="1" applyBorder="1" applyAlignment="1">
      <alignment horizontal="center" vertical="top" wrapText="1"/>
    </xf>
    <xf numFmtId="0" fontId="4" fillId="0" borderId="6" xfId="1" applyFont="1" applyBorder="1" applyAlignment="1">
      <alignment horizontal="center" vertical="top" wrapText="1"/>
    </xf>
    <xf numFmtId="0" fontId="4" fillId="0" borderId="6" xfId="1" applyFont="1" applyBorder="1" applyAlignment="1">
      <alignment horizontal="center" vertical="top" wrapText="1"/>
    </xf>
    <xf numFmtId="1" fontId="8" fillId="0" borderId="6" xfId="1" applyNumberFormat="1" applyFont="1" applyBorder="1" applyAlignment="1">
      <alignment horizontal="center" vertical="top" shrinkToFit="1"/>
    </xf>
    <xf numFmtId="0" fontId="3" fillId="0" borderId="6" xfId="1" applyBorder="1" applyAlignment="1">
      <alignment horizontal="left" wrapText="1"/>
    </xf>
    <xf numFmtId="0" fontId="4" fillId="0" borderId="6" xfId="1" quotePrefix="1" applyFont="1" applyBorder="1" applyAlignment="1">
      <alignment horizontal="center" vertical="top" wrapText="1"/>
    </xf>
    <xf numFmtId="0" fontId="4" fillId="0" borderId="56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shrinkToFit="1"/>
    </xf>
    <xf numFmtId="9" fontId="8" fillId="0" borderId="1" xfId="1" applyNumberFormat="1" applyFont="1" applyBorder="1" applyAlignment="1">
      <alignment horizontal="center" vertical="center" shrinkToFi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1" fontId="8" fillId="0" borderId="23" xfId="1" applyNumberFormat="1" applyFont="1" applyBorder="1" applyAlignment="1">
      <alignment horizontal="center" vertical="center" shrinkToFit="1"/>
    </xf>
    <xf numFmtId="9" fontId="8" fillId="0" borderId="23" xfId="1" applyNumberFormat="1" applyFont="1" applyBorder="1" applyAlignment="1">
      <alignment horizontal="center" vertical="center" shrinkToFit="1"/>
    </xf>
    <xf numFmtId="0" fontId="3" fillId="0" borderId="23" xfId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1" fontId="8" fillId="0" borderId="29" xfId="1" applyNumberFormat="1" applyFont="1" applyBorder="1" applyAlignment="1">
      <alignment horizontal="center" vertical="center" shrinkToFit="1"/>
    </xf>
    <xf numFmtId="9" fontId="8" fillId="0" borderId="29" xfId="1" applyNumberFormat="1" applyFont="1" applyBorder="1" applyAlignment="1">
      <alignment horizontal="center" vertical="center" shrinkToFit="1"/>
    </xf>
    <xf numFmtId="0" fontId="3" fillId="0" borderId="29" xfId="1" applyBorder="1" applyAlignment="1">
      <alignment horizontal="center" vertical="center" wrapText="1"/>
    </xf>
    <xf numFmtId="9" fontId="8" fillId="0" borderId="1" xfId="1" quotePrefix="1" applyNumberFormat="1" applyFont="1" applyBorder="1" applyAlignment="1">
      <alignment horizontal="center" vertical="top" shrinkToFit="1"/>
    </xf>
    <xf numFmtId="9" fontId="8" fillId="0" borderId="2" xfId="1" quotePrefix="1" applyNumberFormat="1" applyFont="1" applyBorder="1" applyAlignment="1">
      <alignment horizontal="center" vertical="top" shrinkToFit="1"/>
    </xf>
  </cellXfs>
  <cellStyles count="5">
    <cellStyle name="Normal" xfId="0" builtinId="0"/>
    <cellStyle name="Normal 2" xfId="1" xr:uid="{F20F629B-834E-4C81-9F49-19F62FDCD157}"/>
    <cellStyle name="Normal 2 2" xfId="3" xr:uid="{F98E2ED0-CA12-45DE-B49B-C481D4D92E6B}"/>
    <cellStyle name="Normal 3" xfId="4" xr:uid="{9D81A9DD-8BA1-4893-B656-030A3B11D80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172016</xdr:colOff>
          <xdr:row>21</xdr:row>
          <xdr:rowOff>172016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172016</xdr:colOff>
          <xdr:row>21</xdr:row>
          <xdr:rowOff>162962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172016</xdr:colOff>
          <xdr:row>21</xdr:row>
          <xdr:rowOff>162962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18107</xdr:colOff>
          <xdr:row>4</xdr:row>
          <xdr:rowOff>45267</xdr:rowOff>
        </xdr:from>
        <xdr:to>
          <xdr:col>5</xdr:col>
          <xdr:colOff>615636</xdr:colOff>
          <xdr:row>4</xdr:row>
          <xdr:rowOff>235390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597529</xdr:colOff>
          <xdr:row>4</xdr:row>
          <xdr:rowOff>63374</xdr:rowOff>
        </xdr:from>
        <xdr:to>
          <xdr:col>6</xdr:col>
          <xdr:colOff>172016</xdr:colOff>
          <xdr:row>4</xdr:row>
          <xdr:rowOff>226337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316871</xdr:colOff>
          <xdr:row>4</xdr:row>
          <xdr:rowOff>54321</xdr:rowOff>
        </xdr:from>
        <xdr:to>
          <xdr:col>6</xdr:col>
          <xdr:colOff>814812</xdr:colOff>
          <xdr:row>4</xdr:row>
          <xdr:rowOff>235390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36214</xdr:colOff>
          <xdr:row>21</xdr:row>
          <xdr:rowOff>0</xdr:rowOff>
        </xdr:from>
        <xdr:to>
          <xdr:col>7</xdr:col>
          <xdr:colOff>208230</xdr:colOff>
          <xdr:row>21</xdr:row>
          <xdr:rowOff>162962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36214</xdr:colOff>
          <xdr:row>21</xdr:row>
          <xdr:rowOff>0</xdr:rowOff>
        </xdr:from>
        <xdr:to>
          <xdr:col>7</xdr:col>
          <xdr:colOff>208230</xdr:colOff>
          <xdr:row>21</xdr:row>
          <xdr:rowOff>162962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36214</xdr:colOff>
          <xdr:row>21</xdr:row>
          <xdr:rowOff>0</xdr:rowOff>
        </xdr:from>
        <xdr:to>
          <xdr:col>7</xdr:col>
          <xdr:colOff>208230</xdr:colOff>
          <xdr:row>21</xdr:row>
          <xdr:rowOff>172016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36214</xdr:colOff>
          <xdr:row>21</xdr:row>
          <xdr:rowOff>0</xdr:rowOff>
        </xdr:from>
        <xdr:to>
          <xdr:col>7</xdr:col>
          <xdr:colOff>208230</xdr:colOff>
          <xdr:row>21</xdr:row>
          <xdr:rowOff>172016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36214</xdr:colOff>
          <xdr:row>21</xdr:row>
          <xdr:rowOff>0</xdr:rowOff>
        </xdr:from>
        <xdr:to>
          <xdr:col>7</xdr:col>
          <xdr:colOff>208230</xdr:colOff>
          <xdr:row>21</xdr:row>
          <xdr:rowOff>172016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1210901</xdr:colOff>
      <xdr:row>0</xdr:row>
      <xdr:rowOff>673662</xdr:rowOff>
    </xdr:to>
    <xdr:pic>
      <xdr:nvPicPr>
        <xdr:cNvPr id="2" name="Picture 1" descr="Home">
          <a:extLst>
            <a:ext uri="{FF2B5EF4-FFF2-40B4-BE49-F238E27FC236}">
              <a16:creationId xmlns:a16="http://schemas.microsoft.com/office/drawing/2014/main" id="{0B1FCF3C-EEDC-705F-00CE-3EAC09B0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42585" cy="67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1BF9-02CA-4A58-BDA1-B537F85A2415}">
  <dimension ref="A1:G122"/>
  <sheetViews>
    <sheetView tabSelected="1" topLeftCell="A34" workbookViewId="0">
      <selection activeCell="B10" sqref="B10"/>
    </sheetView>
  </sheetViews>
  <sheetFormatPr defaultRowHeight="14.3" x14ac:dyDescent="0.25"/>
  <cols>
    <col min="2" max="2" width="60" customWidth="1"/>
    <col min="3" max="5" width="14.42578125" style="6" customWidth="1"/>
    <col min="6" max="6" width="9.140625" style="6"/>
  </cols>
  <sheetData>
    <row r="1" spans="1:7" x14ac:dyDescent="0.25">
      <c r="A1" s="186" t="s">
        <v>174</v>
      </c>
      <c r="B1" s="186"/>
      <c r="C1" s="186"/>
      <c r="D1" s="186"/>
      <c r="E1" s="186"/>
      <c r="F1" s="186"/>
    </row>
    <row r="2" spans="1:7" x14ac:dyDescent="0.25">
      <c r="A2" s="180" t="s">
        <v>3</v>
      </c>
      <c r="B2" s="180" t="s">
        <v>5</v>
      </c>
      <c r="C2" s="182" t="s">
        <v>186</v>
      </c>
      <c r="D2" s="183"/>
      <c r="E2" s="183"/>
      <c r="F2" s="184"/>
    </row>
    <row r="3" spans="1:7" x14ac:dyDescent="0.25">
      <c r="A3" s="181"/>
      <c r="B3" s="181"/>
      <c r="C3" s="11" t="s">
        <v>0</v>
      </c>
      <c r="D3" s="11" t="s">
        <v>1</v>
      </c>
      <c r="E3" s="11" t="s">
        <v>2</v>
      </c>
      <c r="F3" s="11" t="s">
        <v>4</v>
      </c>
    </row>
    <row r="4" spans="1:7" x14ac:dyDescent="0.25">
      <c r="A4" s="8">
        <v>1.1000000000000001</v>
      </c>
      <c r="B4" s="9" t="s">
        <v>6</v>
      </c>
      <c r="C4" s="10" t="s">
        <v>86</v>
      </c>
      <c r="D4" s="10"/>
      <c r="E4" s="10"/>
      <c r="F4" s="11"/>
      <c r="G4" s="3"/>
    </row>
    <row r="5" spans="1:7" x14ac:dyDescent="0.25">
      <c r="A5" s="8">
        <v>1.2</v>
      </c>
      <c r="B5" s="9" t="s">
        <v>7</v>
      </c>
      <c r="C5" s="10" t="s">
        <v>86</v>
      </c>
      <c r="D5" s="10"/>
      <c r="E5" s="10"/>
      <c r="F5" s="11"/>
      <c r="G5" s="3"/>
    </row>
    <row r="6" spans="1:7" x14ac:dyDescent="0.25">
      <c r="A6" s="8">
        <v>1.3</v>
      </c>
      <c r="B6" s="9" t="s">
        <v>8</v>
      </c>
      <c r="C6" s="10" t="s">
        <v>86</v>
      </c>
      <c r="D6" s="10"/>
      <c r="E6" s="10"/>
      <c r="F6" s="11"/>
      <c r="G6" s="3"/>
    </row>
    <row r="7" spans="1:7" x14ac:dyDescent="0.25">
      <c r="A7" s="8" t="s">
        <v>87</v>
      </c>
      <c r="B7" s="9" t="s">
        <v>9</v>
      </c>
      <c r="C7" s="10" t="s">
        <v>86</v>
      </c>
      <c r="D7" s="10"/>
      <c r="E7" s="10"/>
      <c r="F7" s="11"/>
      <c r="G7" s="3"/>
    </row>
    <row r="8" spans="1:7" x14ac:dyDescent="0.25">
      <c r="A8" s="8" t="s">
        <v>88</v>
      </c>
      <c r="B8" s="9" t="s">
        <v>10</v>
      </c>
      <c r="C8" s="10" t="s">
        <v>86</v>
      </c>
      <c r="D8" s="10"/>
      <c r="E8" s="10"/>
      <c r="F8" s="11"/>
      <c r="G8" s="3"/>
    </row>
    <row r="9" spans="1:7" x14ac:dyDescent="0.25">
      <c r="A9" s="8" t="s">
        <v>89</v>
      </c>
      <c r="B9" s="9" t="s">
        <v>11</v>
      </c>
      <c r="C9" s="10" t="s">
        <v>86</v>
      </c>
      <c r="D9" s="10"/>
      <c r="E9" s="10"/>
      <c r="F9" s="11"/>
      <c r="G9" s="3"/>
    </row>
    <row r="10" spans="1:7" x14ac:dyDescent="0.25">
      <c r="A10" s="8" t="s">
        <v>90</v>
      </c>
      <c r="B10" s="9" t="s">
        <v>12</v>
      </c>
      <c r="C10" s="10"/>
      <c r="D10" s="10"/>
      <c r="E10" s="10" t="s">
        <v>86</v>
      </c>
      <c r="F10" s="11"/>
      <c r="G10" s="3"/>
    </row>
    <row r="11" spans="1:7" x14ac:dyDescent="0.25">
      <c r="A11" s="8" t="s">
        <v>91</v>
      </c>
      <c r="B11" s="9" t="s">
        <v>13</v>
      </c>
      <c r="C11" s="10"/>
      <c r="D11" s="10"/>
      <c r="E11" s="10" t="s">
        <v>86</v>
      </c>
      <c r="F11" s="11"/>
      <c r="G11" s="3"/>
    </row>
    <row r="12" spans="1:7" x14ac:dyDescent="0.25">
      <c r="A12" s="8" t="s">
        <v>92</v>
      </c>
      <c r="B12" s="9" t="s">
        <v>14</v>
      </c>
      <c r="C12" s="10"/>
      <c r="D12" s="10" t="s">
        <v>86</v>
      </c>
      <c r="E12" s="10"/>
      <c r="F12" s="11"/>
      <c r="G12" s="3"/>
    </row>
    <row r="13" spans="1:7" x14ac:dyDescent="0.25">
      <c r="A13" s="8" t="s">
        <v>93</v>
      </c>
      <c r="B13" s="9" t="s">
        <v>94</v>
      </c>
      <c r="C13" s="10" t="s">
        <v>86</v>
      </c>
      <c r="D13" s="10"/>
      <c r="E13" s="10"/>
      <c r="F13" s="11"/>
      <c r="G13" s="3"/>
    </row>
    <row r="14" spans="1:7" x14ac:dyDescent="0.25">
      <c r="C14" s="1"/>
      <c r="D14" s="1"/>
      <c r="E14" s="1"/>
      <c r="F14" s="1"/>
      <c r="G14" s="3"/>
    </row>
    <row r="15" spans="1:7" x14ac:dyDescent="0.25">
      <c r="A15" s="186" t="s">
        <v>175</v>
      </c>
      <c r="B15" s="186"/>
      <c r="C15" s="186"/>
      <c r="D15" s="186"/>
      <c r="E15" s="186"/>
      <c r="F15" s="186"/>
      <c r="G15" s="3"/>
    </row>
    <row r="16" spans="1:7" x14ac:dyDescent="0.25">
      <c r="A16" s="180" t="s">
        <v>3</v>
      </c>
      <c r="B16" s="180" t="s">
        <v>5</v>
      </c>
      <c r="C16" s="182" t="s">
        <v>186</v>
      </c>
      <c r="D16" s="183"/>
      <c r="E16" s="183"/>
      <c r="F16" s="184"/>
    </row>
    <row r="17" spans="1:7" x14ac:dyDescent="0.25">
      <c r="A17" s="181"/>
      <c r="B17" s="181"/>
      <c r="C17" s="11" t="s">
        <v>0</v>
      </c>
      <c r="D17" s="11" t="s">
        <v>1</v>
      </c>
      <c r="E17" s="11" t="s">
        <v>2</v>
      </c>
      <c r="F17" s="11" t="s">
        <v>4</v>
      </c>
    </row>
    <row r="18" spans="1:7" x14ac:dyDescent="0.25">
      <c r="A18" s="8" t="s">
        <v>95</v>
      </c>
      <c r="B18" s="12" t="s">
        <v>15</v>
      </c>
      <c r="C18" s="10" t="s">
        <v>86</v>
      </c>
      <c r="D18" s="10"/>
      <c r="E18" s="10"/>
      <c r="F18" s="10"/>
      <c r="G18" s="3"/>
    </row>
    <row r="19" spans="1:7" x14ac:dyDescent="0.25">
      <c r="A19" s="8" t="s">
        <v>96</v>
      </c>
      <c r="B19" s="12" t="s">
        <v>16</v>
      </c>
      <c r="C19" s="10" t="s">
        <v>86</v>
      </c>
      <c r="D19" s="10"/>
      <c r="E19" s="10"/>
      <c r="F19" s="10"/>
      <c r="G19" s="3"/>
    </row>
    <row r="20" spans="1:7" x14ac:dyDescent="0.25">
      <c r="A20" s="8" t="s">
        <v>97</v>
      </c>
      <c r="B20" s="12" t="s">
        <v>17</v>
      </c>
      <c r="C20" s="10" t="s">
        <v>86</v>
      </c>
      <c r="D20" s="10"/>
      <c r="E20" s="10"/>
      <c r="F20" s="10"/>
      <c r="G20" s="3"/>
    </row>
    <row r="21" spans="1:7" x14ac:dyDescent="0.25">
      <c r="A21" s="8" t="s">
        <v>98</v>
      </c>
      <c r="B21" s="12" t="s">
        <v>18</v>
      </c>
      <c r="C21" s="10" t="s">
        <v>86</v>
      </c>
      <c r="D21" s="10"/>
      <c r="E21" s="10"/>
      <c r="F21" s="10"/>
      <c r="G21" s="3"/>
    </row>
    <row r="22" spans="1:7" x14ac:dyDescent="0.25">
      <c r="A22" s="8" t="s">
        <v>99</v>
      </c>
      <c r="B22" s="12" t="s">
        <v>19</v>
      </c>
      <c r="C22" s="10" t="s">
        <v>86</v>
      </c>
      <c r="D22" s="10"/>
      <c r="E22" s="10"/>
      <c r="F22" s="10"/>
      <c r="G22" s="3"/>
    </row>
    <row r="23" spans="1:7" x14ac:dyDescent="0.25">
      <c r="A23" s="8" t="s">
        <v>100</v>
      </c>
      <c r="B23" s="12" t="s">
        <v>20</v>
      </c>
      <c r="C23" s="10" t="s">
        <v>86</v>
      </c>
      <c r="D23" s="10"/>
      <c r="E23" s="10"/>
      <c r="F23" s="10"/>
      <c r="G23" s="3"/>
    </row>
    <row r="24" spans="1:7" x14ac:dyDescent="0.25">
      <c r="A24" s="8" t="s">
        <v>101</v>
      </c>
      <c r="B24" s="12" t="s">
        <v>21</v>
      </c>
      <c r="C24" s="10" t="s">
        <v>86</v>
      </c>
      <c r="D24" s="10"/>
      <c r="E24" s="10"/>
      <c r="F24" s="10"/>
      <c r="G24" s="3"/>
    </row>
    <row r="25" spans="1:7" x14ac:dyDescent="0.25">
      <c r="A25" s="8" t="s">
        <v>102</v>
      </c>
      <c r="B25" s="12" t="s">
        <v>22</v>
      </c>
      <c r="C25" s="10" t="s">
        <v>86</v>
      </c>
      <c r="D25" s="10"/>
      <c r="E25" s="10"/>
      <c r="F25" s="10"/>
      <c r="G25" s="3"/>
    </row>
    <row r="26" spans="1:7" x14ac:dyDescent="0.25">
      <c r="A26" s="8" t="s">
        <v>103</v>
      </c>
      <c r="B26" s="12" t="s">
        <v>23</v>
      </c>
      <c r="C26" s="10" t="s">
        <v>86</v>
      </c>
      <c r="D26" s="10"/>
      <c r="E26" s="10"/>
      <c r="F26" s="10"/>
      <c r="G26" s="3"/>
    </row>
    <row r="27" spans="1:7" x14ac:dyDescent="0.25">
      <c r="A27" s="8" t="s">
        <v>104</v>
      </c>
      <c r="B27" s="12" t="s">
        <v>24</v>
      </c>
      <c r="C27" s="10" t="s">
        <v>86</v>
      </c>
      <c r="D27" s="10"/>
      <c r="E27" s="10"/>
      <c r="F27" s="10"/>
      <c r="G27" s="3"/>
    </row>
    <row r="28" spans="1:7" x14ac:dyDescent="0.25">
      <c r="A28" s="8" t="s">
        <v>105</v>
      </c>
      <c r="B28" s="12" t="s">
        <v>25</v>
      </c>
      <c r="C28" s="10" t="s">
        <v>86</v>
      </c>
      <c r="D28" s="10"/>
      <c r="E28" s="10"/>
      <c r="F28" s="10"/>
      <c r="G28" s="3"/>
    </row>
    <row r="29" spans="1:7" x14ac:dyDescent="0.25">
      <c r="A29" s="8" t="s">
        <v>106</v>
      </c>
      <c r="B29" s="12" t="s">
        <v>26</v>
      </c>
      <c r="C29" s="10" t="s">
        <v>86</v>
      </c>
      <c r="D29" s="10"/>
      <c r="E29" s="10"/>
      <c r="F29" s="10"/>
      <c r="G29" s="3"/>
    </row>
    <row r="30" spans="1:7" x14ac:dyDescent="0.25">
      <c r="A30" s="8" t="s">
        <v>107</v>
      </c>
      <c r="B30" s="12" t="s">
        <v>27</v>
      </c>
      <c r="C30" s="10" t="s">
        <v>86</v>
      </c>
      <c r="D30" s="10"/>
      <c r="E30" s="10"/>
      <c r="F30" s="10"/>
      <c r="G30" s="3"/>
    </row>
    <row r="31" spans="1:7" x14ac:dyDescent="0.25">
      <c r="A31" s="8" t="s">
        <v>108</v>
      </c>
      <c r="B31" s="12" t="s">
        <v>28</v>
      </c>
      <c r="C31" s="10"/>
      <c r="D31" s="10"/>
      <c r="E31" s="10" t="s">
        <v>86</v>
      </c>
      <c r="F31" s="10"/>
      <c r="G31" s="3"/>
    </row>
    <row r="32" spans="1:7" x14ac:dyDescent="0.25">
      <c r="A32" s="8" t="s">
        <v>109</v>
      </c>
      <c r="B32" s="12" t="s">
        <v>29</v>
      </c>
      <c r="C32" s="10"/>
      <c r="D32" s="10"/>
      <c r="E32" s="10" t="s">
        <v>86</v>
      </c>
      <c r="F32" s="10"/>
      <c r="G32" s="3"/>
    </row>
    <row r="33" spans="1:7" x14ac:dyDescent="0.25">
      <c r="A33" s="8" t="s">
        <v>110</v>
      </c>
      <c r="B33" s="12" t="s">
        <v>30</v>
      </c>
      <c r="C33" s="10"/>
      <c r="D33" s="10"/>
      <c r="E33" s="10" t="s">
        <v>86</v>
      </c>
      <c r="F33" s="10"/>
      <c r="G33" s="3"/>
    </row>
    <row r="34" spans="1:7" x14ac:dyDescent="0.25">
      <c r="A34" s="8" t="s">
        <v>111</v>
      </c>
      <c r="B34" s="12" t="s">
        <v>31</v>
      </c>
      <c r="C34" s="10"/>
      <c r="D34" s="10"/>
      <c r="E34" s="10" t="s">
        <v>86</v>
      </c>
      <c r="F34" s="10"/>
      <c r="G34" s="3"/>
    </row>
    <row r="35" spans="1:7" x14ac:dyDescent="0.25">
      <c r="A35" s="8" t="s">
        <v>112</v>
      </c>
      <c r="B35" s="12" t="s">
        <v>32</v>
      </c>
      <c r="C35" s="10"/>
      <c r="D35" s="10"/>
      <c r="E35" s="10" t="s">
        <v>86</v>
      </c>
      <c r="F35" s="10"/>
      <c r="G35" s="3"/>
    </row>
    <row r="36" spans="1:7" x14ac:dyDescent="0.25">
      <c r="A36" s="8" t="s">
        <v>113</v>
      </c>
      <c r="B36" s="12" t="s">
        <v>33</v>
      </c>
      <c r="C36" s="10"/>
      <c r="D36" s="10"/>
      <c r="E36" s="10" t="s">
        <v>86</v>
      </c>
      <c r="F36" s="10"/>
      <c r="G36" s="3"/>
    </row>
    <row r="37" spans="1:7" x14ac:dyDescent="0.25">
      <c r="A37" s="8" t="s">
        <v>114</v>
      </c>
      <c r="B37" s="12" t="s">
        <v>34</v>
      </c>
      <c r="C37" s="10"/>
      <c r="D37" s="10"/>
      <c r="E37" s="10" t="s">
        <v>86</v>
      </c>
      <c r="F37" s="10"/>
      <c r="G37" s="3"/>
    </row>
    <row r="38" spans="1:7" x14ac:dyDescent="0.25">
      <c r="A38" s="8" t="s">
        <v>115</v>
      </c>
      <c r="B38" s="12" t="s">
        <v>35</v>
      </c>
      <c r="C38" s="10"/>
      <c r="D38" s="10"/>
      <c r="E38" s="10" t="s">
        <v>86</v>
      </c>
      <c r="F38" s="10"/>
      <c r="G38" s="3"/>
    </row>
    <row r="39" spans="1:7" x14ac:dyDescent="0.25">
      <c r="A39" s="8" t="s">
        <v>116</v>
      </c>
      <c r="B39" s="12" t="s">
        <v>36</v>
      </c>
      <c r="C39" s="10"/>
      <c r="D39" s="10"/>
      <c r="E39" s="10" t="s">
        <v>86</v>
      </c>
      <c r="F39" s="10"/>
      <c r="G39" s="3"/>
    </row>
    <row r="40" spans="1:7" x14ac:dyDescent="0.25">
      <c r="A40" s="8" t="s">
        <v>117</v>
      </c>
      <c r="B40" s="12" t="s">
        <v>180</v>
      </c>
      <c r="C40" s="10"/>
      <c r="D40" s="10"/>
      <c r="E40" s="10" t="s">
        <v>86</v>
      </c>
      <c r="F40" s="10"/>
      <c r="G40" s="3"/>
    </row>
    <row r="41" spans="1:7" x14ac:dyDescent="0.25">
      <c r="A41" s="8" t="s">
        <v>118</v>
      </c>
      <c r="B41" s="12" t="s">
        <v>37</v>
      </c>
      <c r="C41" s="10"/>
      <c r="D41" s="10"/>
      <c r="E41" s="10" t="s">
        <v>86</v>
      </c>
      <c r="F41" s="10"/>
      <c r="G41" s="3"/>
    </row>
    <row r="42" spans="1:7" x14ac:dyDescent="0.25">
      <c r="A42" s="8" t="s">
        <v>119</v>
      </c>
      <c r="B42" s="12" t="s">
        <v>38</v>
      </c>
      <c r="C42" s="10"/>
      <c r="D42" s="10" t="s">
        <v>86</v>
      </c>
      <c r="E42" s="10"/>
      <c r="F42" s="10"/>
      <c r="G42" s="3"/>
    </row>
    <row r="43" spans="1:7" x14ac:dyDescent="0.25">
      <c r="A43" s="8" t="s">
        <v>120</v>
      </c>
      <c r="B43" s="12" t="s">
        <v>39</v>
      </c>
      <c r="C43" s="10"/>
      <c r="D43" s="10" t="s">
        <v>86</v>
      </c>
      <c r="E43" s="10"/>
      <c r="F43" s="10"/>
      <c r="G43" s="3"/>
    </row>
    <row r="44" spans="1:7" x14ac:dyDescent="0.25">
      <c r="A44" s="8" t="s">
        <v>121</v>
      </c>
      <c r="B44" s="12" t="s">
        <v>40</v>
      </c>
      <c r="C44" s="10"/>
      <c r="D44" s="10" t="s">
        <v>86</v>
      </c>
      <c r="E44" s="10"/>
      <c r="F44" s="10"/>
      <c r="G44" s="3"/>
    </row>
    <row r="45" spans="1:7" ht="28.55" x14ac:dyDescent="0.25">
      <c r="A45" s="8" t="s">
        <v>122</v>
      </c>
      <c r="B45" s="12" t="s">
        <v>370</v>
      </c>
      <c r="C45" s="10"/>
      <c r="D45" s="10" t="s">
        <v>86</v>
      </c>
      <c r="E45" s="10"/>
      <c r="F45" s="10"/>
      <c r="G45" s="3"/>
    </row>
    <row r="46" spans="1:7" x14ac:dyDescent="0.25">
      <c r="A46" s="8" t="s">
        <v>123</v>
      </c>
      <c r="B46" s="12" t="s">
        <v>41</v>
      </c>
      <c r="C46" s="10"/>
      <c r="D46" s="10" t="s">
        <v>86</v>
      </c>
      <c r="E46" s="10"/>
      <c r="F46" s="10"/>
      <c r="G46" s="3"/>
    </row>
    <row r="47" spans="1:7" x14ac:dyDescent="0.25">
      <c r="A47" s="8" t="s">
        <v>124</v>
      </c>
      <c r="B47" s="12" t="s">
        <v>42</v>
      </c>
      <c r="C47" s="10"/>
      <c r="D47" s="10" t="s">
        <v>86</v>
      </c>
      <c r="E47" s="10"/>
      <c r="F47" s="10"/>
      <c r="G47" s="3"/>
    </row>
    <row r="48" spans="1:7" x14ac:dyDescent="0.25">
      <c r="A48" s="5"/>
      <c r="C48" s="1"/>
      <c r="D48" s="1"/>
      <c r="E48" s="1"/>
      <c r="F48" s="1"/>
      <c r="G48" s="3"/>
    </row>
    <row r="49" spans="1:7" x14ac:dyDescent="0.25">
      <c r="A49" s="186" t="s">
        <v>176</v>
      </c>
      <c r="B49" s="186"/>
      <c r="C49" s="186"/>
      <c r="D49" s="186"/>
      <c r="E49" s="186"/>
      <c r="F49" s="186"/>
      <c r="G49" s="3"/>
    </row>
    <row r="50" spans="1:7" x14ac:dyDescent="0.25">
      <c r="A50" s="180" t="s">
        <v>3</v>
      </c>
      <c r="B50" s="180" t="s">
        <v>5</v>
      </c>
      <c r="C50" s="182" t="s">
        <v>186</v>
      </c>
      <c r="D50" s="183"/>
      <c r="E50" s="183"/>
      <c r="F50" s="184"/>
    </row>
    <row r="51" spans="1:7" x14ac:dyDescent="0.25">
      <c r="A51" s="181"/>
      <c r="B51" s="181"/>
      <c r="C51" s="11" t="s">
        <v>0</v>
      </c>
      <c r="D51" s="11" t="s">
        <v>1</v>
      </c>
      <c r="E51" s="11" t="s">
        <v>2</v>
      </c>
      <c r="F51" s="11" t="s">
        <v>4</v>
      </c>
    </row>
    <row r="52" spans="1:7" x14ac:dyDescent="0.25">
      <c r="A52" s="8" t="s">
        <v>125</v>
      </c>
      <c r="B52" s="12" t="s">
        <v>43</v>
      </c>
      <c r="C52" s="11"/>
      <c r="D52" s="11"/>
      <c r="E52" s="10" t="s">
        <v>86</v>
      </c>
      <c r="F52" s="11"/>
      <c r="G52" s="3"/>
    </row>
    <row r="53" spans="1:7" x14ac:dyDescent="0.25">
      <c r="A53" s="8" t="s">
        <v>126</v>
      </c>
      <c r="B53" s="12" t="s">
        <v>44</v>
      </c>
      <c r="C53" s="11"/>
      <c r="D53" s="11"/>
      <c r="E53" s="10" t="s">
        <v>86</v>
      </c>
      <c r="F53" s="11"/>
      <c r="G53" s="3"/>
    </row>
    <row r="54" spans="1:7" x14ac:dyDescent="0.25">
      <c r="A54" s="8" t="s">
        <v>127</v>
      </c>
      <c r="B54" s="12" t="s">
        <v>45</v>
      </c>
      <c r="C54" s="11"/>
      <c r="D54" s="11"/>
      <c r="E54" s="10" t="s">
        <v>86</v>
      </c>
      <c r="F54" s="11"/>
      <c r="G54" s="3"/>
    </row>
    <row r="55" spans="1:7" x14ac:dyDescent="0.25">
      <c r="A55" s="8" t="s">
        <v>128</v>
      </c>
      <c r="B55" s="12" t="s">
        <v>46</v>
      </c>
      <c r="C55" s="11"/>
      <c r="D55" s="11"/>
      <c r="E55" s="10" t="s">
        <v>86</v>
      </c>
      <c r="F55" s="11"/>
      <c r="G55" s="3"/>
    </row>
    <row r="56" spans="1:7" x14ac:dyDescent="0.25">
      <c r="A56" s="8" t="s">
        <v>129</v>
      </c>
      <c r="B56" s="12" t="s">
        <v>47</v>
      </c>
      <c r="C56" s="11"/>
      <c r="D56" s="11"/>
      <c r="E56" s="10" t="s">
        <v>86</v>
      </c>
      <c r="F56" s="11"/>
      <c r="G56" s="3"/>
    </row>
    <row r="57" spans="1:7" x14ac:dyDescent="0.25">
      <c r="A57" s="8" t="s">
        <v>130</v>
      </c>
      <c r="B57" s="12" t="s">
        <v>48</v>
      </c>
      <c r="C57" s="11"/>
      <c r="D57" s="11"/>
      <c r="E57" s="10" t="s">
        <v>86</v>
      </c>
      <c r="F57" s="11"/>
      <c r="G57" s="3"/>
    </row>
    <row r="58" spans="1:7" x14ac:dyDescent="0.25">
      <c r="A58" s="8" t="s">
        <v>131</v>
      </c>
      <c r="B58" s="12" t="s">
        <v>49</v>
      </c>
      <c r="C58" s="11"/>
      <c r="D58" s="11"/>
      <c r="E58" s="10" t="s">
        <v>86</v>
      </c>
      <c r="F58" s="11"/>
      <c r="G58" s="3"/>
    </row>
    <row r="59" spans="1:7" x14ac:dyDescent="0.25">
      <c r="A59" s="8" t="s">
        <v>132</v>
      </c>
      <c r="B59" s="12" t="s">
        <v>50</v>
      </c>
      <c r="C59" s="11"/>
      <c r="D59" s="11"/>
      <c r="E59" s="10" t="s">
        <v>86</v>
      </c>
      <c r="F59" s="11"/>
      <c r="G59" s="3"/>
    </row>
    <row r="60" spans="1:7" x14ac:dyDescent="0.25">
      <c r="A60" s="8" t="s">
        <v>133</v>
      </c>
      <c r="B60" s="12" t="s">
        <v>51</v>
      </c>
      <c r="C60" s="11"/>
      <c r="D60" s="11"/>
      <c r="E60" s="10" t="s">
        <v>86</v>
      </c>
      <c r="F60" s="11"/>
      <c r="G60" s="3"/>
    </row>
    <row r="61" spans="1:7" x14ac:dyDescent="0.25">
      <c r="A61" s="8" t="s">
        <v>134</v>
      </c>
      <c r="B61" s="12" t="s">
        <v>52</v>
      </c>
      <c r="C61" s="11"/>
      <c r="D61" s="11"/>
      <c r="E61" s="10" t="s">
        <v>86</v>
      </c>
      <c r="F61" s="11"/>
      <c r="G61" s="3"/>
    </row>
    <row r="62" spans="1:7" x14ac:dyDescent="0.25">
      <c r="A62" s="8" t="s">
        <v>135</v>
      </c>
      <c r="B62" s="12" t="s">
        <v>53</v>
      </c>
      <c r="C62" s="11"/>
      <c r="D62" s="11"/>
      <c r="E62" s="10" t="s">
        <v>86</v>
      </c>
      <c r="F62" s="11"/>
      <c r="G62" s="3"/>
    </row>
    <row r="63" spans="1:7" x14ac:dyDescent="0.25">
      <c r="A63" s="8" t="s">
        <v>136</v>
      </c>
      <c r="B63" s="12" t="s">
        <v>54</v>
      </c>
      <c r="C63" s="11"/>
      <c r="D63" s="11"/>
      <c r="E63" s="10" t="s">
        <v>86</v>
      </c>
      <c r="F63" s="11"/>
      <c r="G63" s="3"/>
    </row>
    <row r="64" spans="1:7" ht="15" customHeight="1" x14ac:dyDescent="0.25">
      <c r="A64" s="8" t="s">
        <v>137</v>
      </c>
      <c r="B64" s="12" t="s">
        <v>183</v>
      </c>
      <c r="C64" s="11"/>
      <c r="D64" s="11"/>
      <c r="E64" s="10" t="s">
        <v>86</v>
      </c>
      <c r="F64" s="11"/>
      <c r="G64" s="3"/>
    </row>
    <row r="65" spans="1:7" x14ac:dyDescent="0.25">
      <c r="A65" s="8" t="s">
        <v>138</v>
      </c>
      <c r="B65" s="12" t="s">
        <v>55</v>
      </c>
      <c r="C65" s="11"/>
      <c r="D65" s="11"/>
      <c r="E65" s="10" t="s">
        <v>86</v>
      </c>
      <c r="F65" s="11"/>
      <c r="G65" s="3"/>
    </row>
    <row r="66" spans="1:7" x14ac:dyDescent="0.25">
      <c r="A66" s="8" t="s">
        <v>139</v>
      </c>
      <c r="B66" s="12" t="s">
        <v>56</v>
      </c>
      <c r="C66" s="11"/>
      <c r="D66" s="11"/>
      <c r="E66" s="10" t="s">
        <v>86</v>
      </c>
      <c r="F66" s="11"/>
      <c r="G66" s="3"/>
    </row>
    <row r="67" spans="1:7" x14ac:dyDescent="0.25">
      <c r="A67" s="8" t="s">
        <v>140</v>
      </c>
      <c r="B67" s="12" t="s">
        <v>184</v>
      </c>
      <c r="C67" s="11"/>
      <c r="D67" s="11"/>
      <c r="E67" s="10" t="s">
        <v>86</v>
      </c>
      <c r="F67" s="11"/>
      <c r="G67" s="3"/>
    </row>
    <row r="68" spans="1:7" x14ac:dyDescent="0.25">
      <c r="A68" s="8" t="s">
        <v>141</v>
      </c>
      <c r="B68" s="12" t="s">
        <v>57</v>
      </c>
      <c r="C68" s="11"/>
      <c r="D68" s="11"/>
      <c r="E68" s="10" t="s">
        <v>86</v>
      </c>
      <c r="F68" s="11"/>
      <c r="G68" s="3"/>
    </row>
    <row r="69" spans="1:7" x14ac:dyDescent="0.25">
      <c r="A69" s="8" t="s">
        <v>142</v>
      </c>
      <c r="B69" s="12" t="s">
        <v>58</v>
      </c>
      <c r="C69" s="11"/>
      <c r="D69" s="11"/>
      <c r="E69" s="10" t="s">
        <v>86</v>
      </c>
      <c r="F69" s="11"/>
      <c r="G69" s="3"/>
    </row>
    <row r="70" spans="1:7" x14ac:dyDescent="0.25">
      <c r="A70" s="8" t="s">
        <v>143</v>
      </c>
      <c r="B70" s="12" t="s">
        <v>59</v>
      </c>
      <c r="C70" s="11"/>
      <c r="D70" s="11"/>
      <c r="E70" s="10" t="s">
        <v>86</v>
      </c>
      <c r="F70" s="11"/>
      <c r="G70" s="3"/>
    </row>
    <row r="71" spans="1:7" x14ac:dyDescent="0.25">
      <c r="A71" s="8" t="s">
        <v>144</v>
      </c>
      <c r="B71" s="12" t="s">
        <v>60</v>
      </c>
      <c r="C71" s="11"/>
      <c r="D71" s="11"/>
      <c r="E71" s="10" t="s">
        <v>86</v>
      </c>
      <c r="F71" s="11"/>
      <c r="G71" s="3"/>
    </row>
    <row r="72" spans="1:7" x14ac:dyDescent="0.25">
      <c r="A72" s="8" t="s">
        <v>145</v>
      </c>
      <c r="B72" s="12" t="s">
        <v>185</v>
      </c>
      <c r="C72" s="11"/>
      <c r="D72" s="11"/>
      <c r="E72" s="10" t="s">
        <v>86</v>
      </c>
      <c r="F72" s="11"/>
      <c r="G72" s="3"/>
    </row>
    <row r="73" spans="1:7" x14ac:dyDescent="0.25">
      <c r="A73" s="8" t="s">
        <v>146</v>
      </c>
      <c r="B73" s="12" t="s">
        <v>61</v>
      </c>
      <c r="C73" s="11"/>
      <c r="D73" s="11"/>
      <c r="E73" s="10" t="s">
        <v>86</v>
      </c>
      <c r="F73" s="11"/>
      <c r="G73" s="3"/>
    </row>
    <row r="74" spans="1:7" x14ac:dyDescent="0.25">
      <c r="A74" s="8" t="s">
        <v>147</v>
      </c>
      <c r="B74" s="12" t="s">
        <v>160</v>
      </c>
      <c r="C74" s="11"/>
      <c r="D74" s="11"/>
      <c r="E74" s="10" t="s">
        <v>86</v>
      </c>
      <c r="F74" s="11"/>
      <c r="G74" s="3"/>
    </row>
    <row r="75" spans="1:7" x14ac:dyDescent="0.25">
      <c r="A75" s="5"/>
      <c r="C75" s="1"/>
      <c r="D75" s="1"/>
      <c r="E75" s="1"/>
      <c r="F75" s="1"/>
      <c r="G75" s="3"/>
    </row>
    <row r="76" spans="1:7" x14ac:dyDescent="0.25">
      <c r="A76" s="186" t="s">
        <v>177</v>
      </c>
      <c r="B76" s="186"/>
      <c r="C76" s="186"/>
      <c r="D76" s="186"/>
      <c r="E76" s="186"/>
      <c r="F76" s="186"/>
      <c r="G76" s="3"/>
    </row>
    <row r="77" spans="1:7" x14ac:dyDescent="0.25">
      <c r="A77" s="180" t="s">
        <v>3</v>
      </c>
      <c r="B77" s="180" t="s">
        <v>5</v>
      </c>
      <c r="C77" s="182" t="s">
        <v>186</v>
      </c>
      <c r="D77" s="183"/>
      <c r="E77" s="183"/>
      <c r="F77" s="184"/>
    </row>
    <row r="78" spans="1:7" x14ac:dyDescent="0.25">
      <c r="A78" s="181"/>
      <c r="B78" s="181"/>
      <c r="C78" s="11" t="s">
        <v>0</v>
      </c>
      <c r="D78" s="11" t="s">
        <v>1</v>
      </c>
      <c r="E78" s="11" t="s">
        <v>2</v>
      </c>
      <c r="F78" s="11" t="s">
        <v>4</v>
      </c>
    </row>
    <row r="79" spans="1:7" x14ac:dyDescent="0.25">
      <c r="A79" s="8" t="s">
        <v>148</v>
      </c>
      <c r="B79" s="12" t="s">
        <v>62</v>
      </c>
      <c r="C79" s="10"/>
      <c r="D79" s="10"/>
      <c r="E79" s="10" t="s">
        <v>86</v>
      </c>
      <c r="F79" s="11"/>
      <c r="G79" s="3"/>
    </row>
    <row r="80" spans="1:7" x14ac:dyDescent="0.25">
      <c r="A80" s="8" t="s">
        <v>149</v>
      </c>
      <c r="B80" s="12" t="s">
        <v>63</v>
      </c>
      <c r="C80" s="10"/>
      <c r="D80" s="10"/>
      <c r="E80" s="10" t="s">
        <v>86</v>
      </c>
      <c r="F80" s="11"/>
      <c r="G80" s="3"/>
    </row>
    <row r="81" spans="1:7" x14ac:dyDescent="0.25">
      <c r="A81" s="8" t="s">
        <v>150</v>
      </c>
      <c r="B81" s="12" t="s">
        <v>64</v>
      </c>
      <c r="C81" s="10"/>
      <c r="D81" s="10"/>
      <c r="E81" s="10" t="s">
        <v>86</v>
      </c>
      <c r="F81" s="11"/>
      <c r="G81" s="3"/>
    </row>
    <row r="82" spans="1:7" x14ac:dyDescent="0.25">
      <c r="A82" s="8" t="s">
        <v>151</v>
      </c>
      <c r="B82" s="12" t="s">
        <v>65</v>
      </c>
      <c r="C82" s="10"/>
      <c r="D82" s="10"/>
      <c r="E82" s="10" t="s">
        <v>86</v>
      </c>
      <c r="F82" s="11"/>
      <c r="G82" s="3"/>
    </row>
    <row r="83" spans="1:7" x14ac:dyDescent="0.25">
      <c r="A83" s="8" t="s">
        <v>152</v>
      </c>
      <c r="B83" s="12" t="s">
        <v>66</v>
      </c>
      <c r="C83" s="10" t="s">
        <v>86</v>
      </c>
      <c r="D83" s="10"/>
      <c r="E83" s="10"/>
      <c r="F83" s="11"/>
      <c r="G83" s="3"/>
    </row>
    <row r="84" spans="1:7" x14ac:dyDescent="0.25">
      <c r="A84" s="8" t="s">
        <v>153</v>
      </c>
      <c r="B84" s="12" t="s">
        <v>67</v>
      </c>
      <c r="C84" s="10" t="s">
        <v>86</v>
      </c>
      <c r="D84" s="10"/>
      <c r="E84" s="10"/>
      <c r="F84" s="11"/>
      <c r="G84" s="3"/>
    </row>
    <row r="85" spans="1:7" x14ac:dyDescent="0.25">
      <c r="A85" s="8" t="s">
        <v>154</v>
      </c>
      <c r="B85" s="12" t="s">
        <v>68</v>
      </c>
      <c r="C85" s="10" t="s">
        <v>86</v>
      </c>
      <c r="D85" s="10"/>
      <c r="E85" s="10"/>
      <c r="F85" s="11"/>
      <c r="G85" s="3"/>
    </row>
    <row r="86" spans="1:7" x14ac:dyDescent="0.25">
      <c r="A86" s="8" t="s">
        <v>155</v>
      </c>
      <c r="B86" s="12" t="s">
        <v>69</v>
      </c>
      <c r="C86" s="10" t="s">
        <v>86</v>
      </c>
      <c r="D86" s="10"/>
      <c r="E86" s="10"/>
      <c r="F86" s="11"/>
      <c r="G86" s="3"/>
    </row>
    <row r="87" spans="1:7" x14ac:dyDescent="0.25">
      <c r="A87" s="8" t="s">
        <v>181</v>
      </c>
      <c r="B87" s="12" t="s">
        <v>182</v>
      </c>
      <c r="C87" s="10"/>
      <c r="D87" s="10"/>
      <c r="E87" s="10" t="s">
        <v>86</v>
      </c>
      <c r="F87" s="11"/>
      <c r="G87" s="3"/>
    </row>
    <row r="88" spans="1:7" x14ac:dyDescent="0.25">
      <c r="A88" s="5"/>
      <c r="C88" s="7"/>
      <c r="D88" s="7"/>
      <c r="E88" s="7"/>
      <c r="F88" s="1"/>
      <c r="G88" s="3"/>
    </row>
    <row r="89" spans="1:7" x14ac:dyDescent="0.25">
      <c r="A89" s="186" t="s">
        <v>173</v>
      </c>
      <c r="B89" s="186"/>
      <c r="C89" s="186"/>
      <c r="D89" s="186"/>
      <c r="E89" s="186"/>
      <c r="F89" s="186"/>
      <c r="G89" s="4"/>
    </row>
    <row r="90" spans="1:7" x14ac:dyDescent="0.25">
      <c r="A90" s="180" t="s">
        <v>3</v>
      </c>
      <c r="B90" s="180" t="s">
        <v>5</v>
      </c>
      <c r="C90" s="182" t="s">
        <v>186</v>
      </c>
      <c r="D90" s="183"/>
      <c r="E90" s="183"/>
      <c r="F90" s="184"/>
    </row>
    <row r="91" spans="1:7" x14ac:dyDescent="0.25">
      <c r="A91" s="181"/>
      <c r="B91" s="181"/>
      <c r="C91" s="11" t="s">
        <v>0</v>
      </c>
      <c r="D91" s="11" t="s">
        <v>1</v>
      </c>
      <c r="E91" s="11" t="s">
        <v>2</v>
      </c>
      <c r="F91" s="11" t="s">
        <v>4</v>
      </c>
    </row>
    <row r="92" spans="1:7" x14ac:dyDescent="0.25">
      <c r="A92" s="8" t="s">
        <v>156</v>
      </c>
      <c r="B92" s="12" t="s">
        <v>70</v>
      </c>
      <c r="C92" s="10"/>
      <c r="D92" s="10"/>
      <c r="E92" s="10" t="s">
        <v>86</v>
      </c>
      <c r="F92" s="11"/>
      <c r="G92" s="3"/>
    </row>
    <row r="93" spans="1:7" x14ac:dyDescent="0.25">
      <c r="A93" s="8" t="s">
        <v>157</v>
      </c>
      <c r="B93" s="12" t="s">
        <v>71</v>
      </c>
      <c r="C93" s="10"/>
      <c r="D93" s="10"/>
      <c r="E93" s="10" t="s">
        <v>86</v>
      </c>
      <c r="F93" s="11"/>
      <c r="G93" s="3"/>
    </row>
    <row r="94" spans="1:7" x14ac:dyDescent="0.25">
      <c r="A94" s="8" t="s">
        <v>158</v>
      </c>
      <c r="B94" s="12" t="s">
        <v>72</v>
      </c>
      <c r="C94" s="10"/>
      <c r="D94" s="10"/>
      <c r="E94" s="10" t="s">
        <v>86</v>
      </c>
      <c r="F94" s="11"/>
      <c r="G94" s="3"/>
    </row>
    <row r="95" spans="1:7" x14ac:dyDescent="0.25">
      <c r="A95" s="8" t="s">
        <v>159</v>
      </c>
      <c r="B95" s="12" t="s">
        <v>73</v>
      </c>
      <c r="C95" s="10"/>
      <c r="D95" s="10" t="s">
        <v>86</v>
      </c>
      <c r="E95" s="10"/>
      <c r="F95" s="11"/>
      <c r="G95" s="3"/>
    </row>
    <row r="96" spans="1:7" x14ac:dyDescent="0.25">
      <c r="A96" s="5"/>
      <c r="C96" s="1"/>
      <c r="D96" s="1"/>
      <c r="E96" s="1"/>
      <c r="F96" s="1"/>
      <c r="G96" s="3"/>
    </row>
    <row r="97" spans="1:7" x14ac:dyDescent="0.25">
      <c r="A97" s="186" t="s">
        <v>178</v>
      </c>
      <c r="B97" s="186"/>
      <c r="C97" s="186"/>
      <c r="D97" s="186"/>
      <c r="E97" s="186"/>
      <c r="F97" s="186"/>
      <c r="G97" s="3"/>
    </row>
    <row r="98" spans="1:7" x14ac:dyDescent="0.25">
      <c r="A98" s="180" t="s">
        <v>3</v>
      </c>
      <c r="B98" s="180" t="s">
        <v>5</v>
      </c>
      <c r="C98" s="182" t="s">
        <v>186</v>
      </c>
      <c r="D98" s="183"/>
      <c r="E98" s="183"/>
      <c r="F98" s="184"/>
    </row>
    <row r="99" spans="1:7" x14ac:dyDescent="0.25">
      <c r="A99" s="181"/>
      <c r="B99" s="181"/>
      <c r="C99" s="11" t="s">
        <v>0</v>
      </c>
      <c r="D99" s="11" t="s">
        <v>1</v>
      </c>
      <c r="E99" s="11" t="s">
        <v>2</v>
      </c>
      <c r="F99" s="11" t="s">
        <v>4</v>
      </c>
    </row>
    <row r="100" spans="1:7" x14ac:dyDescent="0.25">
      <c r="A100" s="13" t="s">
        <v>161</v>
      </c>
      <c r="B100" s="12" t="s">
        <v>83</v>
      </c>
      <c r="C100" s="10"/>
      <c r="D100" s="14"/>
      <c r="E100" s="10" t="s">
        <v>86</v>
      </c>
      <c r="F100" s="11"/>
      <c r="G100" s="3"/>
    </row>
    <row r="101" spans="1:7" x14ac:dyDescent="0.25">
      <c r="A101" s="13" t="s">
        <v>162</v>
      </c>
      <c r="B101" s="12" t="s">
        <v>84</v>
      </c>
      <c r="C101" s="10"/>
      <c r="D101" s="14"/>
      <c r="E101" s="10" t="s">
        <v>86</v>
      </c>
      <c r="F101" s="11"/>
      <c r="G101" s="3"/>
    </row>
    <row r="102" spans="1:7" x14ac:dyDescent="0.25">
      <c r="A102" s="13" t="s">
        <v>163</v>
      </c>
      <c r="B102" s="12" t="s">
        <v>85</v>
      </c>
      <c r="C102" s="10" t="s">
        <v>86</v>
      </c>
      <c r="D102" s="10"/>
      <c r="E102" s="10"/>
      <c r="F102" s="11"/>
      <c r="G102" s="3"/>
    </row>
    <row r="103" spans="1:7" x14ac:dyDescent="0.25">
      <c r="A103" s="5"/>
      <c r="C103" s="1"/>
      <c r="D103" s="1"/>
      <c r="E103" s="1"/>
      <c r="F103" s="1"/>
      <c r="G103" s="3"/>
    </row>
    <row r="104" spans="1:7" x14ac:dyDescent="0.25">
      <c r="A104" s="186" t="s">
        <v>179</v>
      </c>
      <c r="B104" s="186"/>
      <c r="C104" s="186"/>
      <c r="D104" s="186"/>
      <c r="E104" s="186"/>
      <c r="F104" s="186"/>
      <c r="G104" s="3"/>
    </row>
    <row r="105" spans="1:7" x14ac:dyDescent="0.25">
      <c r="A105" s="180" t="s">
        <v>3</v>
      </c>
      <c r="B105" s="180" t="s">
        <v>5</v>
      </c>
      <c r="C105" s="182" t="s">
        <v>186</v>
      </c>
      <c r="D105" s="183"/>
      <c r="E105" s="183"/>
      <c r="F105" s="184"/>
    </row>
    <row r="106" spans="1:7" x14ac:dyDescent="0.25">
      <c r="A106" s="181"/>
      <c r="B106" s="181"/>
      <c r="C106" s="11" t="s">
        <v>0</v>
      </c>
      <c r="D106" s="11" t="s">
        <v>1</v>
      </c>
      <c r="E106" s="11" t="s">
        <v>2</v>
      </c>
      <c r="F106" s="11" t="s">
        <v>4</v>
      </c>
    </row>
    <row r="107" spans="1:7" x14ac:dyDescent="0.25">
      <c r="A107" s="8" t="s">
        <v>164</v>
      </c>
      <c r="B107" s="12" t="s">
        <v>74</v>
      </c>
      <c r="C107" s="10"/>
      <c r="D107" s="10"/>
      <c r="E107" s="10"/>
      <c r="F107" s="10" t="s">
        <v>86</v>
      </c>
      <c r="G107" s="3"/>
    </row>
    <row r="108" spans="1:7" x14ac:dyDescent="0.25">
      <c r="A108" s="8" t="s">
        <v>165</v>
      </c>
      <c r="B108" s="12" t="s">
        <v>75</v>
      </c>
      <c r="C108" s="10"/>
      <c r="D108" s="10"/>
      <c r="E108" s="10"/>
      <c r="F108" s="10" t="s">
        <v>86</v>
      </c>
      <c r="G108" s="3"/>
    </row>
    <row r="109" spans="1:7" x14ac:dyDescent="0.25">
      <c r="A109" s="8" t="s">
        <v>166</v>
      </c>
      <c r="B109" s="12" t="s">
        <v>76</v>
      </c>
      <c r="C109" s="10"/>
      <c r="D109" s="10"/>
      <c r="E109" s="10"/>
      <c r="F109" s="10" t="s">
        <v>86</v>
      </c>
      <c r="G109" s="3"/>
    </row>
    <row r="110" spans="1:7" x14ac:dyDescent="0.25">
      <c r="A110" s="8" t="s">
        <v>167</v>
      </c>
      <c r="B110" s="12" t="s">
        <v>77</v>
      </c>
      <c r="C110" s="10"/>
      <c r="D110" s="10"/>
      <c r="E110" s="10"/>
      <c r="F110" s="10" t="s">
        <v>86</v>
      </c>
      <c r="G110" s="3"/>
    </row>
    <row r="111" spans="1:7" x14ac:dyDescent="0.25">
      <c r="A111" s="8" t="s">
        <v>168</v>
      </c>
      <c r="B111" s="12" t="s">
        <v>78</v>
      </c>
      <c r="C111" s="10"/>
      <c r="D111" s="10"/>
      <c r="E111" s="10"/>
      <c r="F111" s="10" t="s">
        <v>86</v>
      </c>
      <c r="G111" s="3"/>
    </row>
    <row r="112" spans="1:7" x14ac:dyDescent="0.25">
      <c r="A112" s="8" t="s">
        <v>169</v>
      </c>
      <c r="B112" s="12" t="s">
        <v>79</v>
      </c>
      <c r="C112" s="10"/>
      <c r="D112" s="10"/>
      <c r="E112" s="10"/>
      <c r="F112" s="10" t="s">
        <v>86</v>
      </c>
      <c r="G112" s="3"/>
    </row>
    <row r="113" spans="1:7" x14ac:dyDescent="0.25">
      <c r="A113" s="8" t="s">
        <v>170</v>
      </c>
      <c r="B113" s="12" t="s">
        <v>80</v>
      </c>
      <c r="C113" s="10"/>
      <c r="D113" s="10"/>
      <c r="E113" s="10"/>
      <c r="F113" s="10" t="s">
        <v>86</v>
      </c>
      <c r="G113" s="3"/>
    </row>
    <row r="114" spans="1:7" x14ac:dyDescent="0.25">
      <c r="A114" s="8" t="s">
        <v>171</v>
      </c>
      <c r="B114" s="12" t="s">
        <v>81</v>
      </c>
      <c r="C114" s="10"/>
      <c r="D114" s="10"/>
      <c r="E114" s="10"/>
      <c r="F114" s="10" t="s">
        <v>86</v>
      </c>
      <c r="G114" s="3"/>
    </row>
    <row r="115" spans="1:7" x14ac:dyDescent="0.25">
      <c r="A115" s="8" t="s">
        <v>172</v>
      </c>
      <c r="B115" s="12" t="s">
        <v>82</v>
      </c>
      <c r="C115" s="10"/>
      <c r="D115" s="10"/>
      <c r="E115" s="10"/>
      <c r="F115" s="10" t="s">
        <v>86</v>
      </c>
      <c r="G115" s="3"/>
    </row>
    <row r="116" spans="1:7" x14ac:dyDescent="0.25">
      <c r="A116" s="5"/>
      <c r="C116" s="1"/>
      <c r="D116" s="1"/>
      <c r="E116" s="1"/>
      <c r="F116" s="1"/>
      <c r="G116" s="3"/>
    </row>
    <row r="117" spans="1:7" x14ac:dyDescent="0.25">
      <c r="A117" s="5"/>
      <c r="C117" s="1"/>
      <c r="D117" s="1"/>
      <c r="E117" s="1"/>
      <c r="F117" s="1"/>
      <c r="G117" s="3"/>
    </row>
    <row r="118" spans="1:7" x14ac:dyDescent="0.25">
      <c r="A118" s="5"/>
      <c r="B118" s="185"/>
      <c r="C118" s="185"/>
      <c r="D118" s="185"/>
      <c r="E118" s="185"/>
      <c r="F118" s="185"/>
      <c r="G118" s="3"/>
    </row>
    <row r="119" spans="1:7" x14ac:dyDescent="0.25">
      <c r="A119" s="5"/>
      <c r="B119" s="2"/>
      <c r="C119" s="1"/>
      <c r="D119" s="1"/>
      <c r="E119" s="1"/>
      <c r="F119" s="1"/>
      <c r="G119" s="3"/>
    </row>
    <row r="120" spans="1:7" x14ac:dyDescent="0.25">
      <c r="A120" s="5"/>
      <c r="B120" s="2"/>
      <c r="C120" s="1"/>
      <c r="D120" s="1"/>
      <c r="E120" s="1"/>
      <c r="F120" s="1"/>
      <c r="G120" s="3"/>
    </row>
    <row r="121" spans="1:7" x14ac:dyDescent="0.25">
      <c r="A121" s="5"/>
      <c r="B121" s="2"/>
      <c r="C121" s="1"/>
      <c r="D121" s="1"/>
      <c r="E121" s="1"/>
      <c r="F121" s="1"/>
      <c r="G121" s="3"/>
    </row>
    <row r="122" spans="1:7" x14ac:dyDescent="0.25">
      <c r="A122" s="5"/>
      <c r="B122" s="2"/>
      <c r="C122" s="1"/>
      <c r="D122" s="1"/>
      <c r="E122" s="1"/>
      <c r="F122" s="1"/>
      <c r="G122" s="3"/>
    </row>
  </sheetData>
  <mergeCells count="29">
    <mergeCell ref="B118:F118"/>
    <mergeCell ref="A89:F89"/>
    <mergeCell ref="A1:F1"/>
    <mergeCell ref="A15:F15"/>
    <mergeCell ref="A97:F97"/>
    <mergeCell ref="A104:F104"/>
    <mergeCell ref="A49:F49"/>
    <mergeCell ref="A76:F76"/>
    <mergeCell ref="A2:A3"/>
    <mergeCell ref="B2:B3"/>
    <mergeCell ref="C2:F2"/>
    <mergeCell ref="A16:A17"/>
    <mergeCell ref="B16:B17"/>
    <mergeCell ref="C16:F16"/>
    <mergeCell ref="A50:A51"/>
    <mergeCell ref="B50:B51"/>
    <mergeCell ref="C50:F50"/>
    <mergeCell ref="A77:A78"/>
    <mergeCell ref="B77:B78"/>
    <mergeCell ref="C77:F77"/>
    <mergeCell ref="A90:A91"/>
    <mergeCell ref="B90:B91"/>
    <mergeCell ref="C90:F90"/>
    <mergeCell ref="A98:A99"/>
    <mergeCell ref="B98:B99"/>
    <mergeCell ref="C98:F98"/>
    <mergeCell ref="A105:A106"/>
    <mergeCell ref="B105:B106"/>
    <mergeCell ref="C105:F10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8720-0BC8-452D-A598-A1C52864DBF3}">
  <dimension ref="A1:Y119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122" sqref="B122"/>
    </sheetView>
  </sheetViews>
  <sheetFormatPr defaultRowHeight="12.85" x14ac:dyDescent="0.25"/>
  <cols>
    <col min="1" max="1" width="16.28515625" style="15" bestFit="1" customWidth="1"/>
    <col min="2" max="2" width="21.28515625" style="15" customWidth="1"/>
    <col min="3" max="3" width="16.42578125" style="15" customWidth="1"/>
    <col min="4" max="4" width="8.42578125" style="15" customWidth="1"/>
    <col min="5" max="5" width="26.85546875" style="22" customWidth="1"/>
    <col min="6" max="6" width="21.7109375" style="15" customWidth="1"/>
    <col min="7" max="7" width="7.7109375" style="15" customWidth="1"/>
    <col min="8" max="8" width="16.42578125" style="15" customWidth="1"/>
    <col min="9" max="9" width="10.42578125" style="15" customWidth="1"/>
    <col min="10" max="10" width="22.28515625" style="15" hidden="1" customWidth="1"/>
    <col min="11" max="11" width="21.7109375" style="15" hidden="1" customWidth="1"/>
    <col min="12" max="12" width="19.85546875" style="15" hidden="1" customWidth="1"/>
    <col min="13" max="13" width="16.28515625" style="15" hidden="1" customWidth="1"/>
    <col min="14" max="14" width="16.28515625" style="15" customWidth="1"/>
    <col min="15" max="15" width="10.85546875" style="15" customWidth="1"/>
    <col min="16" max="16" width="12" style="15" customWidth="1"/>
    <col min="17" max="19" width="12.85546875" style="15" customWidth="1"/>
    <col min="20" max="24" width="12" style="15" customWidth="1"/>
    <col min="25" max="25" width="27.42578125" style="15" customWidth="1"/>
    <col min="26" max="16384" width="9.140625" style="15"/>
  </cols>
  <sheetData>
    <row r="1" spans="1:25" ht="24.95" customHeight="1" x14ac:dyDescent="0.25">
      <c r="A1" s="146" t="s">
        <v>280</v>
      </c>
      <c r="B1" s="172" t="s">
        <v>187</v>
      </c>
      <c r="C1" s="172" t="s">
        <v>188</v>
      </c>
      <c r="D1" s="172" t="s">
        <v>189</v>
      </c>
      <c r="E1" s="172" t="s">
        <v>190</v>
      </c>
      <c r="F1" s="172" t="s">
        <v>191</v>
      </c>
      <c r="G1" s="172" t="s">
        <v>192</v>
      </c>
      <c r="H1" s="172" t="s">
        <v>193</v>
      </c>
      <c r="I1" s="172" t="s">
        <v>191</v>
      </c>
      <c r="J1" s="52"/>
      <c r="K1" s="52"/>
      <c r="L1" s="52"/>
      <c r="M1" s="52"/>
      <c r="N1" s="172" t="s">
        <v>198</v>
      </c>
      <c r="O1" s="172" t="s">
        <v>199</v>
      </c>
      <c r="P1" s="172" t="s">
        <v>200</v>
      </c>
      <c r="Q1" s="172" t="s">
        <v>284</v>
      </c>
      <c r="R1" s="172" t="s">
        <v>285</v>
      </c>
      <c r="S1" s="172" t="s">
        <v>286</v>
      </c>
      <c r="T1" s="172" t="s">
        <v>282</v>
      </c>
      <c r="U1" s="172" t="s">
        <v>299</v>
      </c>
      <c r="V1" s="167" t="s">
        <v>334</v>
      </c>
      <c r="W1" s="172" t="s">
        <v>283</v>
      </c>
      <c r="X1" s="172" t="s">
        <v>296</v>
      </c>
      <c r="Y1" s="175"/>
    </row>
    <row r="2" spans="1:25" ht="35.65" customHeight="1" thickBot="1" x14ac:dyDescent="0.3">
      <c r="A2" s="147"/>
      <c r="B2" s="173"/>
      <c r="C2" s="173"/>
      <c r="D2" s="173"/>
      <c r="E2" s="173"/>
      <c r="F2" s="173"/>
      <c r="G2" s="173"/>
      <c r="H2" s="173"/>
      <c r="I2" s="173"/>
      <c r="J2" s="53" t="s">
        <v>194</v>
      </c>
      <c r="K2" s="53" t="s">
        <v>195</v>
      </c>
      <c r="L2" s="53" t="s">
        <v>196</v>
      </c>
      <c r="M2" s="53" t="s">
        <v>197</v>
      </c>
      <c r="N2" s="173"/>
      <c r="O2" s="173"/>
      <c r="P2" s="173"/>
      <c r="Q2" s="173"/>
      <c r="R2" s="173"/>
      <c r="S2" s="173"/>
      <c r="T2" s="173"/>
      <c r="U2" s="173"/>
      <c r="V2" s="168"/>
      <c r="W2" s="173"/>
      <c r="X2" s="53" t="s">
        <v>300</v>
      </c>
      <c r="Y2" s="54" t="s">
        <v>301</v>
      </c>
    </row>
    <row r="3" spans="1:25" s="30" customFormat="1" ht="10.7" customHeight="1" x14ac:dyDescent="0.25">
      <c r="A3" s="148" t="s">
        <v>281</v>
      </c>
      <c r="B3" s="176" t="s">
        <v>201</v>
      </c>
      <c r="C3" s="174" t="s">
        <v>202</v>
      </c>
      <c r="D3" s="174" t="s">
        <v>203</v>
      </c>
      <c r="E3" s="174" t="s">
        <v>204</v>
      </c>
      <c r="F3" s="174" t="s">
        <v>205</v>
      </c>
      <c r="G3" s="177">
        <v>40</v>
      </c>
      <c r="H3" s="177">
        <v>150</v>
      </c>
      <c r="I3" s="174" t="s">
        <v>206</v>
      </c>
      <c r="J3" s="42"/>
      <c r="K3" s="43"/>
      <c r="L3" s="43"/>
      <c r="M3" s="43"/>
      <c r="N3" s="178">
        <v>0.05</v>
      </c>
      <c r="O3" s="179"/>
      <c r="P3" s="174" t="s">
        <v>208</v>
      </c>
      <c r="Q3" s="158" t="s">
        <v>289</v>
      </c>
      <c r="R3" s="174">
        <v>1</v>
      </c>
      <c r="S3" s="158" t="s">
        <v>289</v>
      </c>
      <c r="T3" s="158" t="s">
        <v>289</v>
      </c>
      <c r="U3" s="158" t="s">
        <v>289</v>
      </c>
      <c r="V3" s="158">
        <v>2</v>
      </c>
      <c r="W3" s="174">
        <v>3</v>
      </c>
      <c r="X3" s="42">
        <v>1</v>
      </c>
      <c r="Y3" s="44" t="s">
        <v>302</v>
      </c>
    </row>
    <row r="4" spans="1:25" s="30" customFormat="1" ht="10.7" customHeight="1" x14ac:dyDescent="0.25">
      <c r="A4" s="149"/>
      <c r="B4" s="126"/>
      <c r="C4" s="129"/>
      <c r="D4" s="129"/>
      <c r="E4" s="129"/>
      <c r="F4" s="129"/>
      <c r="G4" s="135"/>
      <c r="H4" s="135"/>
      <c r="I4" s="129"/>
      <c r="J4" s="27"/>
      <c r="K4" s="29"/>
      <c r="L4" s="29"/>
      <c r="M4" s="29"/>
      <c r="N4" s="138"/>
      <c r="O4" s="141"/>
      <c r="P4" s="129"/>
      <c r="Q4" s="144"/>
      <c r="R4" s="129"/>
      <c r="S4" s="144"/>
      <c r="T4" s="144"/>
      <c r="U4" s="144"/>
      <c r="V4" s="144"/>
      <c r="W4" s="129"/>
      <c r="X4" s="27">
        <v>1</v>
      </c>
      <c r="Y4" s="45" t="s">
        <v>303</v>
      </c>
    </row>
    <row r="5" spans="1:25" s="30" customFormat="1" ht="10.7" customHeight="1" x14ac:dyDescent="0.25">
      <c r="A5" s="149"/>
      <c r="B5" s="127"/>
      <c r="C5" s="130"/>
      <c r="D5" s="130"/>
      <c r="E5" s="130"/>
      <c r="F5" s="130"/>
      <c r="G5" s="136"/>
      <c r="H5" s="136"/>
      <c r="I5" s="130"/>
      <c r="J5" s="27" t="s">
        <v>207</v>
      </c>
      <c r="K5" s="29">
        <v>60</v>
      </c>
      <c r="L5" s="29">
        <v>120</v>
      </c>
      <c r="M5" s="29">
        <v>132</v>
      </c>
      <c r="N5" s="139"/>
      <c r="O5" s="142"/>
      <c r="P5" s="130"/>
      <c r="Q5" s="145"/>
      <c r="R5" s="130"/>
      <c r="S5" s="145"/>
      <c r="T5" s="145"/>
      <c r="U5" s="145"/>
      <c r="V5" s="145"/>
      <c r="W5" s="130"/>
      <c r="X5" s="27">
        <v>1</v>
      </c>
      <c r="Y5" s="45" t="s">
        <v>304</v>
      </c>
    </row>
    <row r="6" spans="1:25" ht="10.7" customHeight="1" x14ac:dyDescent="0.2">
      <c r="A6" s="149"/>
      <c r="B6" s="37" t="s">
        <v>209</v>
      </c>
      <c r="C6" s="23" t="s">
        <v>202</v>
      </c>
      <c r="D6" s="23" t="s">
        <v>210</v>
      </c>
      <c r="E6" s="23" t="s">
        <v>211</v>
      </c>
      <c r="F6" s="23" t="s">
        <v>205</v>
      </c>
      <c r="G6" s="24">
        <v>40</v>
      </c>
      <c r="H6" s="24">
        <v>150</v>
      </c>
      <c r="I6" s="23" t="s">
        <v>206</v>
      </c>
      <c r="J6" s="23" t="s">
        <v>207</v>
      </c>
      <c r="K6" s="24">
        <v>60</v>
      </c>
      <c r="L6" s="24">
        <v>120</v>
      </c>
      <c r="M6" s="24">
        <v>132</v>
      </c>
      <c r="N6" s="25">
        <v>0.05</v>
      </c>
      <c r="O6" s="26"/>
      <c r="P6" s="23" t="s">
        <v>208</v>
      </c>
      <c r="Q6" s="33" t="s">
        <v>289</v>
      </c>
      <c r="R6" s="27">
        <v>3</v>
      </c>
      <c r="S6" s="27">
        <v>1</v>
      </c>
      <c r="T6" s="27">
        <v>5</v>
      </c>
      <c r="U6" s="33" t="s">
        <v>289</v>
      </c>
      <c r="V6" s="33">
        <v>2</v>
      </c>
      <c r="W6" s="27">
        <v>80</v>
      </c>
      <c r="X6" s="27">
        <v>1</v>
      </c>
      <c r="Y6" s="46" t="s">
        <v>305</v>
      </c>
    </row>
    <row r="7" spans="1:25" s="30" customFormat="1" ht="10.7" customHeight="1" x14ac:dyDescent="0.25">
      <c r="A7" s="149"/>
      <c r="B7" s="125" t="s">
        <v>339</v>
      </c>
      <c r="C7" s="128" t="s">
        <v>202</v>
      </c>
      <c r="D7" s="131" t="s">
        <v>203</v>
      </c>
      <c r="E7" s="128" t="s">
        <v>287</v>
      </c>
      <c r="F7" s="128" t="s">
        <v>205</v>
      </c>
      <c r="G7" s="134">
        <v>40</v>
      </c>
      <c r="H7" s="134">
        <v>150</v>
      </c>
      <c r="I7" s="128" t="s">
        <v>206</v>
      </c>
      <c r="J7" s="27" t="s">
        <v>207</v>
      </c>
      <c r="K7" s="29">
        <v>60</v>
      </c>
      <c r="L7" s="29">
        <v>120</v>
      </c>
      <c r="M7" s="29">
        <v>132</v>
      </c>
      <c r="N7" s="137">
        <v>0.05</v>
      </c>
      <c r="O7" s="140"/>
      <c r="P7" s="128" t="s">
        <v>86</v>
      </c>
      <c r="Q7" s="143" t="s">
        <v>289</v>
      </c>
      <c r="R7" s="143">
        <v>3</v>
      </c>
      <c r="S7" s="143" t="s">
        <v>289</v>
      </c>
      <c r="T7" s="143">
        <v>2</v>
      </c>
      <c r="U7" s="143" t="s">
        <v>289</v>
      </c>
      <c r="V7" s="143">
        <v>2</v>
      </c>
      <c r="W7" s="124">
        <v>3</v>
      </c>
      <c r="X7" s="27">
        <v>1</v>
      </c>
      <c r="Y7" s="65" t="s">
        <v>363</v>
      </c>
    </row>
    <row r="8" spans="1:25" s="30" customFormat="1" ht="10.7" customHeight="1" x14ac:dyDescent="0.25">
      <c r="A8" s="149"/>
      <c r="B8" s="126"/>
      <c r="C8" s="129"/>
      <c r="D8" s="132"/>
      <c r="E8" s="129"/>
      <c r="F8" s="129"/>
      <c r="G8" s="135"/>
      <c r="H8" s="135"/>
      <c r="I8" s="129"/>
      <c r="J8" s="27"/>
      <c r="K8" s="29"/>
      <c r="L8" s="29"/>
      <c r="M8" s="29"/>
      <c r="N8" s="138"/>
      <c r="O8" s="141"/>
      <c r="P8" s="129"/>
      <c r="Q8" s="144"/>
      <c r="R8" s="144"/>
      <c r="S8" s="144"/>
      <c r="T8" s="144"/>
      <c r="U8" s="144"/>
      <c r="V8" s="144"/>
      <c r="W8" s="124"/>
      <c r="X8" s="27">
        <v>1</v>
      </c>
      <c r="Y8" s="65" t="s">
        <v>320</v>
      </c>
    </row>
    <row r="9" spans="1:25" s="30" customFormat="1" ht="10.7" customHeight="1" x14ac:dyDescent="0.25">
      <c r="A9" s="149"/>
      <c r="B9" s="126"/>
      <c r="C9" s="129"/>
      <c r="D9" s="132"/>
      <c r="E9" s="129"/>
      <c r="F9" s="129"/>
      <c r="G9" s="135"/>
      <c r="H9" s="135"/>
      <c r="I9" s="129"/>
      <c r="J9" s="27"/>
      <c r="K9" s="29"/>
      <c r="L9" s="29"/>
      <c r="M9" s="29"/>
      <c r="N9" s="138"/>
      <c r="O9" s="141"/>
      <c r="P9" s="129"/>
      <c r="Q9" s="144"/>
      <c r="R9" s="144"/>
      <c r="S9" s="144"/>
      <c r="T9" s="144"/>
      <c r="U9" s="144"/>
      <c r="V9" s="144"/>
      <c r="W9" s="124"/>
      <c r="X9" s="27">
        <v>1</v>
      </c>
      <c r="Y9" s="65" t="s">
        <v>310</v>
      </c>
    </row>
    <row r="10" spans="1:25" s="30" customFormat="1" ht="14.3" customHeight="1" x14ac:dyDescent="0.25">
      <c r="A10" s="149"/>
      <c r="B10" s="127"/>
      <c r="C10" s="130"/>
      <c r="D10" s="133"/>
      <c r="E10" s="130"/>
      <c r="F10" s="130"/>
      <c r="G10" s="136"/>
      <c r="H10" s="136"/>
      <c r="I10" s="130"/>
      <c r="J10" s="27"/>
      <c r="K10" s="29"/>
      <c r="L10" s="29"/>
      <c r="M10" s="29"/>
      <c r="N10" s="139"/>
      <c r="O10" s="142"/>
      <c r="P10" s="130"/>
      <c r="Q10" s="145"/>
      <c r="R10" s="145"/>
      <c r="S10" s="145"/>
      <c r="T10" s="145"/>
      <c r="U10" s="145"/>
      <c r="V10" s="145"/>
      <c r="W10" s="124"/>
      <c r="X10" s="27">
        <v>1</v>
      </c>
      <c r="Y10" s="66" t="s">
        <v>364</v>
      </c>
    </row>
    <row r="11" spans="1:25" ht="10.7" customHeight="1" x14ac:dyDescent="0.2">
      <c r="A11" s="149"/>
      <c r="B11" s="38" t="s">
        <v>340</v>
      </c>
      <c r="C11" s="23" t="s">
        <v>202</v>
      </c>
      <c r="D11" s="23" t="s">
        <v>203</v>
      </c>
      <c r="E11" s="23" t="s">
        <v>288</v>
      </c>
      <c r="F11" s="23" t="s">
        <v>205</v>
      </c>
      <c r="G11" s="24">
        <v>40</v>
      </c>
      <c r="H11" s="24">
        <v>150</v>
      </c>
      <c r="I11" s="23" t="s">
        <v>206</v>
      </c>
      <c r="J11" s="23" t="s">
        <v>207</v>
      </c>
      <c r="K11" s="24">
        <v>60</v>
      </c>
      <c r="L11" s="24">
        <v>120</v>
      </c>
      <c r="M11" s="24">
        <v>132</v>
      </c>
      <c r="N11" s="25">
        <v>0.05</v>
      </c>
      <c r="O11" s="26"/>
      <c r="P11" s="23" t="s">
        <v>86</v>
      </c>
      <c r="Q11" s="33" t="s">
        <v>289</v>
      </c>
      <c r="R11" s="27">
        <v>2</v>
      </c>
      <c r="S11" s="33" t="s">
        <v>289</v>
      </c>
      <c r="T11" s="27">
        <v>3</v>
      </c>
      <c r="U11" s="33" t="s">
        <v>289</v>
      </c>
      <c r="V11" s="33">
        <v>2</v>
      </c>
      <c r="W11" s="27">
        <v>165</v>
      </c>
      <c r="X11" s="33" t="s">
        <v>289</v>
      </c>
      <c r="Y11" s="65" t="s">
        <v>289</v>
      </c>
    </row>
    <row r="12" spans="1:25" s="30" customFormat="1" ht="10.7" customHeight="1" x14ac:dyDescent="0.25">
      <c r="A12" s="149"/>
      <c r="B12" s="125" t="s">
        <v>213</v>
      </c>
      <c r="C12" s="128" t="s">
        <v>214</v>
      </c>
      <c r="D12" s="128" t="s">
        <v>215</v>
      </c>
      <c r="E12" s="128" t="s">
        <v>204</v>
      </c>
      <c r="F12" s="128" t="s">
        <v>205</v>
      </c>
      <c r="G12" s="134">
        <v>40</v>
      </c>
      <c r="H12" s="134">
        <v>150</v>
      </c>
      <c r="I12" s="128" t="s">
        <v>206</v>
      </c>
      <c r="J12" s="27"/>
      <c r="K12" s="29"/>
      <c r="L12" s="29"/>
      <c r="M12" s="29"/>
      <c r="N12" s="137">
        <v>0.05</v>
      </c>
      <c r="O12" s="140"/>
      <c r="P12" s="128" t="s">
        <v>208</v>
      </c>
      <c r="Q12" s="143" t="s">
        <v>289</v>
      </c>
      <c r="R12" s="128">
        <v>1</v>
      </c>
      <c r="S12" s="143" t="s">
        <v>289</v>
      </c>
      <c r="T12" s="143" t="s">
        <v>289</v>
      </c>
      <c r="U12" s="143" t="s">
        <v>289</v>
      </c>
      <c r="V12" s="143">
        <v>2</v>
      </c>
      <c r="W12" s="124">
        <v>3</v>
      </c>
      <c r="X12" s="27">
        <v>1</v>
      </c>
      <c r="Y12" s="66" t="s">
        <v>306</v>
      </c>
    </row>
    <row r="13" spans="1:25" s="30" customFormat="1" ht="10.7" customHeight="1" x14ac:dyDescent="0.25">
      <c r="A13" s="149"/>
      <c r="B13" s="126"/>
      <c r="C13" s="129"/>
      <c r="D13" s="129"/>
      <c r="E13" s="129"/>
      <c r="F13" s="129"/>
      <c r="G13" s="135"/>
      <c r="H13" s="135"/>
      <c r="I13" s="129"/>
      <c r="J13" s="27"/>
      <c r="K13" s="29"/>
      <c r="L13" s="29"/>
      <c r="M13" s="29"/>
      <c r="N13" s="138"/>
      <c r="O13" s="141"/>
      <c r="P13" s="129"/>
      <c r="Q13" s="144"/>
      <c r="R13" s="129"/>
      <c r="S13" s="144"/>
      <c r="T13" s="144"/>
      <c r="U13" s="144"/>
      <c r="V13" s="144"/>
      <c r="W13" s="124"/>
      <c r="X13" s="27">
        <v>1</v>
      </c>
      <c r="Y13" s="66" t="s">
        <v>303</v>
      </c>
    </row>
    <row r="14" spans="1:25" s="30" customFormat="1" ht="14.3" customHeight="1" x14ac:dyDescent="0.25">
      <c r="A14" s="149"/>
      <c r="B14" s="127"/>
      <c r="C14" s="130"/>
      <c r="D14" s="130"/>
      <c r="E14" s="130"/>
      <c r="F14" s="130"/>
      <c r="G14" s="136"/>
      <c r="H14" s="136"/>
      <c r="I14" s="130"/>
      <c r="J14" s="27" t="s">
        <v>207</v>
      </c>
      <c r="K14" s="29">
        <v>60</v>
      </c>
      <c r="L14" s="29">
        <v>120</v>
      </c>
      <c r="M14" s="29">
        <v>132</v>
      </c>
      <c r="N14" s="139"/>
      <c r="O14" s="142"/>
      <c r="P14" s="130"/>
      <c r="Q14" s="145"/>
      <c r="R14" s="130"/>
      <c r="S14" s="145"/>
      <c r="T14" s="145"/>
      <c r="U14" s="145"/>
      <c r="V14" s="145"/>
      <c r="W14" s="124"/>
      <c r="X14" s="27">
        <v>1</v>
      </c>
      <c r="Y14" s="66" t="s">
        <v>304</v>
      </c>
    </row>
    <row r="15" spans="1:25" s="30" customFormat="1" ht="10.7" customHeight="1" x14ac:dyDescent="0.25">
      <c r="A15" s="149"/>
      <c r="B15" s="39" t="s">
        <v>216</v>
      </c>
      <c r="C15" s="27" t="s">
        <v>214</v>
      </c>
      <c r="D15" s="27" t="s">
        <v>203</v>
      </c>
      <c r="E15" s="27" t="s">
        <v>211</v>
      </c>
      <c r="F15" s="27" t="s">
        <v>205</v>
      </c>
      <c r="G15" s="29">
        <v>40</v>
      </c>
      <c r="H15" s="29">
        <v>150</v>
      </c>
      <c r="I15" s="27" t="s">
        <v>206</v>
      </c>
      <c r="J15" s="27" t="s">
        <v>207</v>
      </c>
      <c r="K15" s="29">
        <v>60</v>
      </c>
      <c r="L15" s="29">
        <v>120</v>
      </c>
      <c r="M15" s="29">
        <v>132</v>
      </c>
      <c r="N15" s="31">
        <v>0.05</v>
      </c>
      <c r="O15" s="32"/>
      <c r="P15" s="27" t="s">
        <v>208</v>
      </c>
      <c r="Q15" s="33" t="s">
        <v>289</v>
      </c>
      <c r="R15" s="27">
        <v>3</v>
      </c>
      <c r="S15" s="27">
        <v>1</v>
      </c>
      <c r="T15" s="27">
        <v>5</v>
      </c>
      <c r="U15" s="33" t="s">
        <v>289</v>
      </c>
      <c r="V15" s="33">
        <v>2</v>
      </c>
      <c r="W15" s="27">
        <v>80</v>
      </c>
      <c r="X15" s="33" t="s">
        <v>289</v>
      </c>
      <c r="Y15" s="65" t="s">
        <v>289</v>
      </c>
    </row>
    <row r="16" spans="1:25" s="30" customFormat="1" ht="10.7" customHeight="1" x14ac:dyDescent="0.25">
      <c r="A16" s="149"/>
      <c r="B16" s="125" t="s">
        <v>341</v>
      </c>
      <c r="C16" s="128" t="s">
        <v>214</v>
      </c>
      <c r="D16" s="131" t="s">
        <v>215</v>
      </c>
      <c r="E16" s="128" t="s">
        <v>287</v>
      </c>
      <c r="F16" s="128" t="s">
        <v>205</v>
      </c>
      <c r="G16" s="134">
        <v>40</v>
      </c>
      <c r="H16" s="134">
        <v>150</v>
      </c>
      <c r="I16" s="128" t="s">
        <v>206</v>
      </c>
      <c r="J16" s="27" t="s">
        <v>207</v>
      </c>
      <c r="K16" s="29">
        <v>60</v>
      </c>
      <c r="L16" s="29">
        <v>120</v>
      </c>
      <c r="M16" s="29">
        <v>132</v>
      </c>
      <c r="N16" s="137">
        <v>0.05</v>
      </c>
      <c r="O16" s="140"/>
      <c r="P16" s="128" t="s">
        <v>208</v>
      </c>
      <c r="Q16" s="143" t="s">
        <v>289</v>
      </c>
      <c r="R16" s="143">
        <v>3</v>
      </c>
      <c r="S16" s="143" t="s">
        <v>289</v>
      </c>
      <c r="T16" s="143">
        <v>2</v>
      </c>
      <c r="U16" s="143" t="s">
        <v>289</v>
      </c>
      <c r="V16" s="143">
        <v>2</v>
      </c>
      <c r="W16" s="124">
        <v>3</v>
      </c>
      <c r="X16" s="27">
        <v>1</v>
      </c>
      <c r="Y16" s="65" t="s">
        <v>363</v>
      </c>
    </row>
    <row r="17" spans="1:25" s="30" customFormat="1" ht="10.7" customHeight="1" x14ac:dyDescent="0.25">
      <c r="A17" s="149"/>
      <c r="B17" s="126"/>
      <c r="C17" s="129"/>
      <c r="D17" s="132"/>
      <c r="E17" s="129"/>
      <c r="F17" s="129"/>
      <c r="G17" s="135"/>
      <c r="H17" s="135"/>
      <c r="I17" s="129"/>
      <c r="J17" s="27"/>
      <c r="K17" s="29"/>
      <c r="L17" s="29"/>
      <c r="M17" s="29"/>
      <c r="N17" s="138"/>
      <c r="O17" s="141"/>
      <c r="P17" s="129"/>
      <c r="Q17" s="144"/>
      <c r="R17" s="144"/>
      <c r="S17" s="144"/>
      <c r="T17" s="144"/>
      <c r="U17" s="144"/>
      <c r="V17" s="144"/>
      <c r="W17" s="124"/>
      <c r="X17" s="27">
        <v>1</v>
      </c>
      <c r="Y17" s="65" t="s">
        <v>320</v>
      </c>
    </row>
    <row r="18" spans="1:25" s="30" customFormat="1" ht="10.7" customHeight="1" x14ac:dyDescent="0.25">
      <c r="A18" s="149"/>
      <c r="B18" s="126"/>
      <c r="C18" s="129"/>
      <c r="D18" s="132"/>
      <c r="E18" s="129"/>
      <c r="F18" s="129"/>
      <c r="G18" s="135"/>
      <c r="H18" s="135"/>
      <c r="I18" s="129"/>
      <c r="J18" s="27"/>
      <c r="K18" s="29"/>
      <c r="L18" s="29"/>
      <c r="M18" s="29"/>
      <c r="N18" s="138"/>
      <c r="O18" s="141"/>
      <c r="P18" s="129"/>
      <c r="Q18" s="144"/>
      <c r="R18" s="144"/>
      <c r="S18" s="144"/>
      <c r="T18" s="144"/>
      <c r="U18" s="144"/>
      <c r="V18" s="144"/>
      <c r="W18" s="124"/>
      <c r="X18" s="27">
        <v>1</v>
      </c>
      <c r="Y18" s="65" t="s">
        <v>310</v>
      </c>
    </row>
    <row r="19" spans="1:25" s="30" customFormat="1" ht="14.3" customHeight="1" x14ac:dyDescent="0.25">
      <c r="A19" s="149"/>
      <c r="B19" s="127"/>
      <c r="C19" s="130"/>
      <c r="D19" s="133"/>
      <c r="E19" s="130"/>
      <c r="F19" s="130"/>
      <c r="G19" s="136"/>
      <c r="H19" s="136"/>
      <c r="I19" s="130"/>
      <c r="J19" s="27"/>
      <c r="K19" s="29"/>
      <c r="L19" s="29"/>
      <c r="M19" s="29"/>
      <c r="N19" s="139"/>
      <c r="O19" s="142"/>
      <c r="P19" s="130"/>
      <c r="Q19" s="145"/>
      <c r="R19" s="145"/>
      <c r="S19" s="145"/>
      <c r="T19" s="145"/>
      <c r="U19" s="145"/>
      <c r="V19" s="145"/>
      <c r="W19" s="124"/>
      <c r="X19" s="27">
        <v>1</v>
      </c>
      <c r="Y19" s="66" t="s">
        <v>328</v>
      </c>
    </row>
    <row r="20" spans="1:25" s="30" customFormat="1" ht="10.7" customHeight="1" x14ac:dyDescent="0.25">
      <c r="A20" s="149"/>
      <c r="B20" s="40" t="s">
        <v>342</v>
      </c>
      <c r="C20" s="27" t="s">
        <v>214</v>
      </c>
      <c r="D20" s="27" t="s">
        <v>215</v>
      </c>
      <c r="E20" s="27" t="s">
        <v>288</v>
      </c>
      <c r="F20" s="27" t="s">
        <v>205</v>
      </c>
      <c r="G20" s="29">
        <v>40</v>
      </c>
      <c r="H20" s="29">
        <v>150</v>
      </c>
      <c r="I20" s="27" t="s">
        <v>206</v>
      </c>
      <c r="J20" s="27" t="s">
        <v>207</v>
      </c>
      <c r="K20" s="29">
        <v>60</v>
      </c>
      <c r="L20" s="29">
        <v>120</v>
      </c>
      <c r="M20" s="29">
        <v>132</v>
      </c>
      <c r="N20" s="31">
        <v>0.05</v>
      </c>
      <c r="O20" s="32"/>
      <c r="P20" s="27" t="s">
        <v>208</v>
      </c>
      <c r="Q20" s="33" t="s">
        <v>289</v>
      </c>
      <c r="R20" s="27">
        <v>2</v>
      </c>
      <c r="S20" s="33" t="s">
        <v>289</v>
      </c>
      <c r="T20" s="27">
        <v>3</v>
      </c>
      <c r="U20" s="33" t="s">
        <v>289</v>
      </c>
      <c r="V20" s="33">
        <v>2</v>
      </c>
      <c r="W20" s="27">
        <v>160</v>
      </c>
      <c r="X20" s="33" t="s">
        <v>289</v>
      </c>
      <c r="Y20" s="65" t="s">
        <v>289</v>
      </c>
    </row>
    <row r="21" spans="1:25" s="30" customFormat="1" ht="10.7" customHeight="1" x14ac:dyDescent="0.25">
      <c r="A21" s="149"/>
      <c r="B21" s="125" t="s">
        <v>217</v>
      </c>
      <c r="C21" s="128" t="s">
        <v>218</v>
      </c>
      <c r="D21" s="131" t="s">
        <v>290</v>
      </c>
      <c r="E21" s="128" t="s">
        <v>204</v>
      </c>
      <c r="F21" s="128" t="s">
        <v>205</v>
      </c>
      <c r="G21" s="134">
        <v>40</v>
      </c>
      <c r="H21" s="134">
        <v>150</v>
      </c>
      <c r="I21" s="128" t="s">
        <v>206</v>
      </c>
      <c r="J21" s="27"/>
      <c r="K21" s="29"/>
      <c r="L21" s="29"/>
      <c r="M21" s="29"/>
      <c r="N21" s="137">
        <v>0.05</v>
      </c>
      <c r="O21" s="140"/>
      <c r="P21" s="128" t="s">
        <v>208</v>
      </c>
      <c r="Q21" s="143" t="s">
        <v>289</v>
      </c>
      <c r="R21" s="128">
        <v>1</v>
      </c>
      <c r="S21" s="143" t="s">
        <v>289</v>
      </c>
      <c r="T21" s="143" t="s">
        <v>289</v>
      </c>
      <c r="U21" s="143" t="s">
        <v>289</v>
      </c>
      <c r="V21" s="143">
        <v>2</v>
      </c>
      <c r="W21" s="124">
        <v>3</v>
      </c>
      <c r="X21" s="27">
        <v>1</v>
      </c>
      <c r="Y21" s="65" t="s">
        <v>306</v>
      </c>
    </row>
    <row r="22" spans="1:25" s="30" customFormat="1" ht="10.7" customHeight="1" x14ac:dyDescent="0.25">
      <c r="A22" s="149"/>
      <c r="B22" s="126"/>
      <c r="C22" s="129"/>
      <c r="D22" s="132"/>
      <c r="E22" s="129"/>
      <c r="F22" s="129"/>
      <c r="G22" s="135"/>
      <c r="H22" s="135"/>
      <c r="I22" s="129"/>
      <c r="J22" s="27"/>
      <c r="K22" s="29"/>
      <c r="L22" s="29"/>
      <c r="M22" s="29"/>
      <c r="N22" s="138"/>
      <c r="O22" s="141"/>
      <c r="P22" s="129"/>
      <c r="Q22" s="144"/>
      <c r="R22" s="129"/>
      <c r="S22" s="144"/>
      <c r="T22" s="144"/>
      <c r="U22" s="144"/>
      <c r="V22" s="144"/>
      <c r="W22" s="124"/>
      <c r="X22" s="27">
        <v>1</v>
      </c>
      <c r="Y22" s="65" t="s">
        <v>307</v>
      </c>
    </row>
    <row r="23" spans="1:25" s="30" customFormat="1" ht="14.3" customHeight="1" x14ac:dyDescent="0.25">
      <c r="A23" s="149"/>
      <c r="B23" s="127"/>
      <c r="C23" s="130"/>
      <c r="D23" s="133"/>
      <c r="E23" s="130"/>
      <c r="F23" s="130"/>
      <c r="G23" s="136"/>
      <c r="H23" s="136"/>
      <c r="I23" s="130"/>
      <c r="J23" s="27" t="s">
        <v>207</v>
      </c>
      <c r="K23" s="29">
        <v>60</v>
      </c>
      <c r="L23" s="29">
        <v>120</v>
      </c>
      <c r="M23" s="29">
        <v>132</v>
      </c>
      <c r="N23" s="139"/>
      <c r="O23" s="142"/>
      <c r="P23" s="130"/>
      <c r="Q23" s="145"/>
      <c r="R23" s="130"/>
      <c r="S23" s="145"/>
      <c r="T23" s="145"/>
      <c r="U23" s="145"/>
      <c r="V23" s="145"/>
      <c r="W23" s="124"/>
      <c r="X23" s="27">
        <v>1</v>
      </c>
      <c r="Y23" s="66" t="s">
        <v>304</v>
      </c>
    </row>
    <row r="24" spans="1:25" ht="14.3" customHeight="1" x14ac:dyDescent="0.2">
      <c r="A24" s="149"/>
      <c r="B24" s="37" t="s">
        <v>219</v>
      </c>
      <c r="C24" s="23" t="s">
        <v>218</v>
      </c>
      <c r="D24" s="23" t="s">
        <v>210</v>
      </c>
      <c r="E24" s="23" t="s">
        <v>211</v>
      </c>
      <c r="F24" s="23" t="s">
        <v>205</v>
      </c>
      <c r="G24" s="24">
        <v>40</v>
      </c>
      <c r="H24" s="24">
        <v>150</v>
      </c>
      <c r="I24" s="23" t="s">
        <v>206</v>
      </c>
      <c r="J24" s="23" t="s">
        <v>207</v>
      </c>
      <c r="K24" s="24">
        <v>60</v>
      </c>
      <c r="L24" s="24">
        <v>120</v>
      </c>
      <c r="M24" s="24">
        <v>132</v>
      </c>
      <c r="N24" s="25">
        <v>0.05</v>
      </c>
      <c r="O24" s="26"/>
      <c r="P24" s="23" t="s">
        <v>208</v>
      </c>
      <c r="Q24" s="33" t="s">
        <v>289</v>
      </c>
      <c r="R24" s="27">
        <v>3</v>
      </c>
      <c r="S24" s="27">
        <v>1</v>
      </c>
      <c r="T24" s="27">
        <v>5</v>
      </c>
      <c r="U24" s="33" t="s">
        <v>289</v>
      </c>
      <c r="V24" s="33">
        <v>2</v>
      </c>
      <c r="W24" s="27">
        <v>80</v>
      </c>
      <c r="X24" s="27">
        <v>1</v>
      </c>
      <c r="Y24" s="46" t="s">
        <v>305</v>
      </c>
    </row>
    <row r="25" spans="1:25" s="30" customFormat="1" ht="10.7" customHeight="1" x14ac:dyDescent="0.25">
      <c r="A25" s="149"/>
      <c r="B25" s="122" t="s">
        <v>343</v>
      </c>
      <c r="C25" s="113" t="s">
        <v>218</v>
      </c>
      <c r="D25" s="113" t="s">
        <v>210</v>
      </c>
      <c r="E25" s="113" t="s">
        <v>287</v>
      </c>
      <c r="F25" s="113" t="s">
        <v>205</v>
      </c>
      <c r="G25" s="151">
        <v>40</v>
      </c>
      <c r="H25" s="151">
        <v>150</v>
      </c>
      <c r="I25" s="113" t="s">
        <v>206</v>
      </c>
      <c r="J25" s="34" t="s">
        <v>207</v>
      </c>
      <c r="K25" s="35">
        <v>60</v>
      </c>
      <c r="L25" s="35">
        <v>120</v>
      </c>
      <c r="M25" s="35">
        <v>132</v>
      </c>
      <c r="N25" s="115">
        <v>0.05</v>
      </c>
      <c r="O25" s="117"/>
      <c r="P25" s="119" t="s">
        <v>208</v>
      </c>
      <c r="Q25" s="121" t="s">
        <v>289</v>
      </c>
      <c r="R25" s="121">
        <v>3</v>
      </c>
      <c r="S25" s="122">
        <v>1</v>
      </c>
      <c r="T25" s="113">
        <v>2</v>
      </c>
      <c r="U25" s="113">
        <v>1</v>
      </c>
      <c r="V25" s="113">
        <v>2</v>
      </c>
      <c r="W25" s="113">
        <v>3</v>
      </c>
      <c r="X25" s="34">
        <v>1</v>
      </c>
      <c r="Y25" s="60" t="s">
        <v>320</v>
      </c>
    </row>
    <row r="26" spans="1:25" s="30" customFormat="1" ht="10.7" customHeight="1" x14ac:dyDescent="0.25">
      <c r="A26" s="149"/>
      <c r="B26" s="123"/>
      <c r="C26" s="114"/>
      <c r="D26" s="114"/>
      <c r="E26" s="114"/>
      <c r="F26" s="114"/>
      <c r="G26" s="152"/>
      <c r="H26" s="152"/>
      <c r="I26" s="114"/>
      <c r="J26" s="34"/>
      <c r="K26" s="35"/>
      <c r="L26" s="35"/>
      <c r="M26" s="35"/>
      <c r="N26" s="116"/>
      <c r="O26" s="118"/>
      <c r="P26" s="120"/>
      <c r="Q26" s="121"/>
      <c r="R26" s="121"/>
      <c r="S26" s="123"/>
      <c r="T26" s="114"/>
      <c r="U26" s="114"/>
      <c r="V26" s="114"/>
      <c r="W26" s="114"/>
      <c r="X26" s="34">
        <v>1</v>
      </c>
      <c r="Y26" s="60" t="s">
        <v>310</v>
      </c>
    </row>
    <row r="27" spans="1:25" ht="21.4" x14ac:dyDescent="0.2">
      <c r="A27" s="149"/>
      <c r="B27" s="38" t="s">
        <v>344</v>
      </c>
      <c r="C27" s="23" t="s">
        <v>218</v>
      </c>
      <c r="D27" s="23" t="s">
        <v>210</v>
      </c>
      <c r="E27" s="23" t="s">
        <v>288</v>
      </c>
      <c r="F27" s="23" t="s">
        <v>205</v>
      </c>
      <c r="G27" s="24">
        <v>40</v>
      </c>
      <c r="H27" s="24">
        <v>150</v>
      </c>
      <c r="I27" s="23" t="s">
        <v>206</v>
      </c>
      <c r="J27" s="23" t="s">
        <v>207</v>
      </c>
      <c r="K27" s="24">
        <v>60</v>
      </c>
      <c r="L27" s="24">
        <v>120</v>
      </c>
      <c r="M27" s="24">
        <v>132</v>
      </c>
      <c r="N27" s="25">
        <v>0.05</v>
      </c>
      <c r="O27" s="26"/>
      <c r="P27" s="23" t="s">
        <v>208</v>
      </c>
      <c r="Q27" s="33" t="s">
        <v>289</v>
      </c>
      <c r="R27" s="27">
        <v>2</v>
      </c>
      <c r="S27" s="33" t="s">
        <v>289</v>
      </c>
      <c r="T27" s="27">
        <v>3</v>
      </c>
      <c r="U27" s="33" t="s">
        <v>289</v>
      </c>
      <c r="V27" s="33">
        <v>2</v>
      </c>
      <c r="W27" s="27">
        <v>160</v>
      </c>
      <c r="X27" s="33" t="s">
        <v>289</v>
      </c>
      <c r="Y27" s="65" t="s">
        <v>289</v>
      </c>
    </row>
    <row r="28" spans="1:25" ht="10.7" customHeight="1" x14ac:dyDescent="0.2">
      <c r="A28" s="149"/>
      <c r="B28" s="37" t="s">
        <v>291</v>
      </c>
      <c r="C28" s="23" t="s">
        <v>292</v>
      </c>
      <c r="D28" s="23" t="s">
        <v>297</v>
      </c>
      <c r="E28" s="23" t="s">
        <v>294</v>
      </c>
      <c r="F28" s="171" t="s">
        <v>406</v>
      </c>
      <c r="G28" s="171"/>
      <c r="H28" s="171"/>
      <c r="I28" s="171"/>
      <c r="J28" s="23"/>
      <c r="K28" s="24"/>
      <c r="L28" s="24"/>
      <c r="M28" s="24"/>
      <c r="N28" s="227" t="s">
        <v>289</v>
      </c>
      <c r="O28" s="26"/>
      <c r="P28" s="28" t="s">
        <v>289</v>
      </c>
      <c r="Q28" s="27">
        <v>2</v>
      </c>
      <c r="R28" s="33" t="s">
        <v>289</v>
      </c>
      <c r="S28" s="33" t="s">
        <v>289</v>
      </c>
      <c r="T28" s="27">
        <v>3</v>
      </c>
      <c r="U28" s="33" t="s">
        <v>289</v>
      </c>
      <c r="V28" s="33" t="s">
        <v>289</v>
      </c>
      <c r="W28" s="27">
        <v>25</v>
      </c>
      <c r="X28" s="33" t="s">
        <v>289</v>
      </c>
      <c r="Y28" s="65" t="s">
        <v>289</v>
      </c>
    </row>
    <row r="29" spans="1:25" ht="10.7" customHeight="1" x14ac:dyDescent="0.2">
      <c r="A29" s="149"/>
      <c r="B29" s="37" t="s">
        <v>291</v>
      </c>
      <c r="C29" s="23" t="s">
        <v>292</v>
      </c>
      <c r="D29" s="23" t="s">
        <v>297</v>
      </c>
      <c r="E29" s="23" t="s">
        <v>295</v>
      </c>
      <c r="F29" s="171" t="s">
        <v>406</v>
      </c>
      <c r="G29" s="171"/>
      <c r="H29" s="171"/>
      <c r="I29" s="171"/>
      <c r="K29" s="24"/>
      <c r="L29" s="24"/>
      <c r="M29" s="24"/>
      <c r="N29" s="227" t="s">
        <v>289</v>
      </c>
      <c r="O29" s="26"/>
      <c r="P29" s="28" t="s">
        <v>289</v>
      </c>
      <c r="Q29" s="27">
        <v>2</v>
      </c>
      <c r="R29" s="33" t="s">
        <v>289</v>
      </c>
      <c r="S29" s="33" t="s">
        <v>289</v>
      </c>
      <c r="T29" s="27">
        <v>3</v>
      </c>
      <c r="U29" s="33" t="s">
        <v>289</v>
      </c>
      <c r="V29" s="33" t="s">
        <v>289</v>
      </c>
      <c r="W29" s="27">
        <v>25</v>
      </c>
      <c r="X29" s="33" t="s">
        <v>289</v>
      </c>
      <c r="Y29" s="65" t="s">
        <v>289</v>
      </c>
    </row>
    <row r="30" spans="1:25" ht="10.7" customHeight="1" x14ac:dyDescent="0.2">
      <c r="A30" s="149"/>
      <c r="B30" s="37" t="s">
        <v>291</v>
      </c>
      <c r="C30" s="23" t="s">
        <v>292</v>
      </c>
      <c r="D30" s="23" t="s">
        <v>297</v>
      </c>
      <c r="E30" s="23" t="s">
        <v>293</v>
      </c>
      <c r="F30" s="171" t="s">
        <v>406</v>
      </c>
      <c r="G30" s="171"/>
      <c r="H30" s="171"/>
      <c r="I30" s="171"/>
      <c r="J30" s="23"/>
      <c r="K30" s="24"/>
      <c r="L30" s="24"/>
      <c r="M30" s="24"/>
      <c r="N30" s="227" t="s">
        <v>289</v>
      </c>
      <c r="O30" s="26"/>
      <c r="P30" s="28" t="s">
        <v>289</v>
      </c>
      <c r="Q30" s="27">
        <v>2</v>
      </c>
      <c r="R30" s="33" t="s">
        <v>289</v>
      </c>
      <c r="S30" s="33" t="s">
        <v>289</v>
      </c>
      <c r="T30" s="27">
        <v>3</v>
      </c>
      <c r="U30" s="33" t="s">
        <v>289</v>
      </c>
      <c r="V30" s="33" t="s">
        <v>289</v>
      </c>
      <c r="W30" s="27">
        <v>25</v>
      </c>
      <c r="X30" s="33" t="s">
        <v>289</v>
      </c>
      <c r="Y30" s="65" t="s">
        <v>289</v>
      </c>
    </row>
    <row r="31" spans="1:25" ht="22.1" thickBot="1" x14ac:dyDescent="0.25">
      <c r="A31" s="150"/>
      <c r="B31" s="47" t="s">
        <v>291</v>
      </c>
      <c r="C31" s="48" t="s">
        <v>292</v>
      </c>
      <c r="D31" s="48" t="s">
        <v>290</v>
      </c>
      <c r="E31" s="48" t="s">
        <v>298</v>
      </c>
      <c r="F31" s="161" t="s">
        <v>406</v>
      </c>
      <c r="G31" s="161"/>
      <c r="H31" s="161"/>
      <c r="I31" s="161"/>
      <c r="J31" s="48"/>
      <c r="K31" s="49"/>
      <c r="L31" s="49"/>
      <c r="M31" s="49"/>
      <c r="N31" s="227" t="s">
        <v>289</v>
      </c>
      <c r="O31" s="50"/>
      <c r="P31" s="51" t="s">
        <v>289</v>
      </c>
      <c r="Q31" s="105">
        <v>12</v>
      </c>
      <c r="R31" s="70" t="s">
        <v>289</v>
      </c>
      <c r="S31" s="70">
        <v>3</v>
      </c>
      <c r="T31" s="105">
        <v>3</v>
      </c>
      <c r="U31" s="70">
        <v>6</v>
      </c>
      <c r="V31" s="70" t="s">
        <v>289</v>
      </c>
      <c r="W31" s="105">
        <v>60</v>
      </c>
      <c r="X31" s="105">
        <v>6</v>
      </c>
      <c r="Y31" s="106" t="s">
        <v>315</v>
      </c>
    </row>
    <row r="32" spans="1:25" ht="10.7" customHeight="1" x14ac:dyDescent="0.25">
      <c r="A32" s="148" t="s">
        <v>358</v>
      </c>
      <c r="B32" s="55" t="s">
        <v>220</v>
      </c>
      <c r="C32" s="56" t="s">
        <v>221</v>
      </c>
      <c r="D32" s="56" t="s">
        <v>222</v>
      </c>
      <c r="E32" s="56" t="s">
        <v>223</v>
      </c>
      <c r="F32" s="56" t="s">
        <v>205</v>
      </c>
      <c r="G32" s="57">
        <v>40</v>
      </c>
      <c r="H32" s="57">
        <v>150</v>
      </c>
      <c r="I32" s="56" t="s">
        <v>206</v>
      </c>
      <c r="J32" s="56" t="s">
        <v>207</v>
      </c>
      <c r="K32" s="57">
        <v>20</v>
      </c>
      <c r="L32" s="57">
        <v>25</v>
      </c>
      <c r="M32" s="58">
        <v>27.5</v>
      </c>
      <c r="N32" s="59">
        <v>0.05</v>
      </c>
      <c r="O32" s="56" t="s">
        <v>208</v>
      </c>
      <c r="P32" s="56" t="s">
        <v>208</v>
      </c>
      <c r="Q32" s="71" t="s">
        <v>289</v>
      </c>
      <c r="R32" s="71" t="s">
        <v>289</v>
      </c>
      <c r="S32" s="62">
        <v>3</v>
      </c>
      <c r="T32" s="62">
        <v>7</v>
      </c>
      <c r="U32" s="71" t="s">
        <v>289</v>
      </c>
      <c r="V32" s="71" t="s">
        <v>289</v>
      </c>
      <c r="W32" s="62">
        <v>50</v>
      </c>
      <c r="X32" s="71" t="s">
        <v>289</v>
      </c>
      <c r="Y32" s="111" t="s">
        <v>289</v>
      </c>
    </row>
    <row r="33" spans="1:25" ht="10.7" customHeight="1" x14ac:dyDescent="0.25">
      <c r="A33" s="149"/>
      <c r="B33" s="41" t="s">
        <v>224</v>
      </c>
      <c r="C33" s="16" t="s">
        <v>221</v>
      </c>
      <c r="D33" s="16" t="s">
        <v>222</v>
      </c>
      <c r="E33" s="16" t="s">
        <v>225</v>
      </c>
      <c r="F33" s="16" t="s">
        <v>205</v>
      </c>
      <c r="G33" s="17">
        <v>40</v>
      </c>
      <c r="H33" s="17">
        <v>150</v>
      </c>
      <c r="I33" s="16" t="s">
        <v>206</v>
      </c>
      <c r="J33" s="16" t="s">
        <v>207</v>
      </c>
      <c r="K33" s="17">
        <v>60</v>
      </c>
      <c r="L33" s="17">
        <v>65</v>
      </c>
      <c r="M33" s="20">
        <v>71.5</v>
      </c>
      <c r="N33" s="18">
        <v>0.05</v>
      </c>
      <c r="O33" s="16" t="s">
        <v>208</v>
      </c>
      <c r="P33" s="16" t="s">
        <v>208</v>
      </c>
      <c r="Q33" s="33" t="s">
        <v>289</v>
      </c>
      <c r="R33" s="33" t="s">
        <v>289</v>
      </c>
      <c r="S33" s="34">
        <v>4</v>
      </c>
      <c r="T33" s="34">
        <v>2</v>
      </c>
      <c r="U33" s="34">
        <v>1</v>
      </c>
      <c r="V33" s="33" t="s">
        <v>289</v>
      </c>
      <c r="W33" s="34">
        <v>10</v>
      </c>
      <c r="X33" s="34">
        <v>1</v>
      </c>
      <c r="Y33" s="60" t="s">
        <v>308</v>
      </c>
    </row>
    <row r="34" spans="1:25" ht="10.7" customHeight="1" x14ac:dyDescent="0.25">
      <c r="A34" s="149"/>
      <c r="B34" s="41" t="s">
        <v>226</v>
      </c>
      <c r="C34" s="16" t="s">
        <v>221</v>
      </c>
      <c r="D34" s="16" t="s">
        <v>222</v>
      </c>
      <c r="E34" s="16" t="s">
        <v>211</v>
      </c>
      <c r="F34" s="16" t="s">
        <v>205</v>
      </c>
      <c r="G34" s="17">
        <v>40</v>
      </c>
      <c r="H34" s="17">
        <v>150</v>
      </c>
      <c r="I34" s="16" t="s">
        <v>206</v>
      </c>
      <c r="J34" s="16" t="s">
        <v>207</v>
      </c>
      <c r="K34" s="17">
        <v>125</v>
      </c>
      <c r="L34" s="20">
        <v>217.5</v>
      </c>
      <c r="M34" s="21">
        <v>239.25</v>
      </c>
      <c r="N34" s="18">
        <v>0.05</v>
      </c>
      <c r="O34" s="16" t="s">
        <v>208</v>
      </c>
      <c r="P34" s="16" t="s">
        <v>208</v>
      </c>
      <c r="Q34" s="33" t="s">
        <v>289</v>
      </c>
      <c r="R34" s="33" t="s">
        <v>289</v>
      </c>
      <c r="S34" s="34">
        <v>1</v>
      </c>
      <c r="T34" s="34">
        <v>5</v>
      </c>
      <c r="U34" s="33" t="s">
        <v>289</v>
      </c>
      <c r="V34" s="33" t="s">
        <v>289</v>
      </c>
      <c r="W34" s="34">
        <v>100</v>
      </c>
      <c r="X34" s="33" t="s">
        <v>289</v>
      </c>
      <c r="Y34" s="65" t="s">
        <v>289</v>
      </c>
    </row>
    <row r="35" spans="1:25" ht="10.7" customHeight="1" x14ac:dyDescent="0.25">
      <c r="A35" s="149"/>
      <c r="B35" s="41" t="s">
        <v>227</v>
      </c>
      <c r="C35" s="16" t="s">
        <v>221</v>
      </c>
      <c r="D35" s="16" t="s">
        <v>222</v>
      </c>
      <c r="E35" s="16" t="s">
        <v>211</v>
      </c>
      <c r="F35" s="16" t="s">
        <v>205</v>
      </c>
      <c r="G35" s="17">
        <v>40</v>
      </c>
      <c r="H35" s="17">
        <v>150</v>
      </c>
      <c r="I35" s="16" t="s">
        <v>206</v>
      </c>
      <c r="J35" s="16" t="s">
        <v>207</v>
      </c>
      <c r="K35" s="17">
        <v>125</v>
      </c>
      <c r="L35" s="20">
        <v>217.5</v>
      </c>
      <c r="M35" s="21">
        <v>239.25</v>
      </c>
      <c r="N35" s="18">
        <v>0.05</v>
      </c>
      <c r="O35" s="16" t="s">
        <v>208</v>
      </c>
      <c r="P35" s="16" t="s">
        <v>208</v>
      </c>
      <c r="Q35" s="33" t="s">
        <v>289</v>
      </c>
      <c r="R35" s="33" t="s">
        <v>289</v>
      </c>
      <c r="S35" s="34">
        <v>28</v>
      </c>
      <c r="T35" s="34">
        <v>6</v>
      </c>
      <c r="U35" s="34">
        <v>3</v>
      </c>
      <c r="V35" s="33" t="s">
        <v>289</v>
      </c>
      <c r="W35" s="34">
        <v>160</v>
      </c>
      <c r="X35" s="33" t="s">
        <v>289</v>
      </c>
      <c r="Y35" s="65" t="s">
        <v>289</v>
      </c>
    </row>
    <row r="36" spans="1:25" s="30" customFormat="1" ht="10.7" customHeight="1" x14ac:dyDescent="0.25">
      <c r="A36" s="149"/>
      <c r="B36" s="122" t="s">
        <v>228</v>
      </c>
      <c r="C36" s="113" t="s">
        <v>221</v>
      </c>
      <c r="D36" s="113" t="s">
        <v>222</v>
      </c>
      <c r="E36" s="113" t="s">
        <v>229</v>
      </c>
      <c r="F36" s="113" t="s">
        <v>205</v>
      </c>
      <c r="G36" s="151">
        <v>40</v>
      </c>
      <c r="H36" s="151">
        <v>150</v>
      </c>
      <c r="I36" s="113" t="s">
        <v>206</v>
      </c>
      <c r="J36" s="34" t="s">
        <v>207</v>
      </c>
      <c r="K36" s="35">
        <v>25</v>
      </c>
      <c r="L36" s="35">
        <v>50</v>
      </c>
      <c r="M36" s="35">
        <v>55</v>
      </c>
      <c r="N36" s="115">
        <v>0.05</v>
      </c>
      <c r="O36" s="117"/>
      <c r="P36" s="119" t="s">
        <v>208</v>
      </c>
      <c r="Q36" s="121" t="s">
        <v>289</v>
      </c>
      <c r="R36" s="121" t="s">
        <v>289</v>
      </c>
      <c r="S36" s="122">
        <v>21</v>
      </c>
      <c r="T36" s="113">
        <v>10</v>
      </c>
      <c r="U36" s="113">
        <v>4</v>
      </c>
      <c r="V36" s="169" t="s">
        <v>289</v>
      </c>
      <c r="W36" s="113">
        <v>90</v>
      </c>
      <c r="X36" s="34">
        <v>4</v>
      </c>
      <c r="Y36" s="60" t="s">
        <v>309</v>
      </c>
    </row>
    <row r="37" spans="1:25" s="30" customFormat="1" ht="10.7" customHeight="1" x14ac:dyDescent="0.25">
      <c r="A37" s="149"/>
      <c r="B37" s="123"/>
      <c r="C37" s="114"/>
      <c r="D37" s="114"/>
      <c r="E37" s="114"/>
      <c r="F37" s="114"/>
      <c r="G37" s="152"/>
      <c r="H37" s="152"/>
      <c r="I37" s="114"/>
      <c r="J37" s="34"/>
      <c r="K37" s="35"/>
      <c r="L37" s="35"/>
      <c r="M37" s="35"/>
      <c r="N37" s="116"/>
      <c r="O37" s="118"/>
      <c r="P37" s="120"/>
      <c r="Q37" s="121"/>
      <c r="R37" s="121"/>
      <c r="S37" s="123"/>
      <c r="T37" s="114"/>
      <c r="U37" s="114"/>
      <c r="V37" s="170"/>
      <c r="W37" s="114"/>
      <c r="X37" s="34">
        <v>4</v>
      </c>
      <c r="Y37" s="60" t="s">
        <v>310</v>
      </c>
    </row>
    <row r="38" spans="1:25" ht="10.7" customHeight="1" x14ac:dyDescent="0.2">
      <c r="A38" s="149"/>
      <c r="B38" s="41" t="s">
        <v>230</v>
      </c>
      <c r="C38" s="16" t="s">
        <v>221</v>
      </c>
      <c r="D38" s="16" t="s">
        <v>222</v>
      </c>
      <c r="E38" s="16" t="s">
        <v>212</v>
      </c>
      <c r="F38" s="16" t="s">
        <v>205</v>
      </c>
      <c r="G38" s="17">
        <v>40</v>
      </c>
      <c r="H38" s="17">
        <v>150</v>
      </c>
      <c r="I38" s="16" t="s">
        <v>206</v>
      </c>
      <c r="J38" s="16" t="s">
        <v>207</v>
      </c>
      <c r="K38" s="17">
        <v>160</v>
      </c>
      <c r="L38" s="20">
        <v>217.5</v>
      </c>
      <c r="M38" s="21">
        <v>239.25</v>
      </c>
      <c r="N38" s="18">
        <v>0.05</v>
      </c>
      <c r="O38" s="19"/>
      <c r="P38" s="16" t="s">
        <v>208</v>
      </c>
      <c r="Q38" s="33" t="s">
        <v>289</v>
      </c>
      <c r="R38" s="33" t="s">
        <v>289</v>
      </c>
      <c r="S38" s="34">
        <v>2</v>
      </c>
      <c r="T38" s="34">
        <v>8</v>
      </c>
      <c r="U38" s="33" t="s">
        <v>289</v>
      </c>
      <c r="V38" s="33" t="s">
        <v>289</v>
      </c>
      <c r="W38" s="34">
        <v>130</v>
      </c>
      <c r="X38" s="33" t="s">
        <v>289</v>
      </c>
      <c r="Y38" s="65" t="s">
        <v>289</v>
      </c>
    </row>
    <row r="39" spans="1:25" ht="10.7" customHeight="1" x14ac:dyDescent="0.2">
      <c r="A39" s="149"/>
      <c r="B39" s="92" t="s">
        <v>231</v>
      </c>
      <c r="C39" s="93" t="s">
        <v>221</v>
      </c>
      <c r="D39" s="93" t="s">
        <v>222</v>
      </c>
      <c r="E39" s="93" t="s">
        <v>232</v>
      </c>
      <c r="F39" s="93" t="s">
        <v>205</v>
      </c>
      <c r="G39" s="94">
        <v>40</v>
      </c>
      <c r="H39" s="94">
        <v>150</v>
      </c>
      <c r="I39" s="93" t="s">
        <v>206</v>
      </c>
      <c r="J39" s="93" t="s">
        <v>207</v>
      </c>
      <c r="K39" s="94">
        <v>160</v>
      </c>
      <c r="L39" s="95">
        <v>217.5</v>
      </c>
      <c r="M39" s="96">
        <v>239.25</v>
      </c>
      <c r="N39" s="97">
        <v>0.05</v>
      </c>
      <c r="O39" s="98"/>
      <c r="P39" s="93" t="s">
        <v>208</v>
      </c>
      <c r="Q39" s="67" t="s">
        <v>289</v>
      </c>
      <c r="R39" s="67" t="s">
        <v>289</v>
      </c>
      <c r="S39" s="36">
        <v>28</v>
      </c>
      <c r="T39" s="36">
        <v>10</v>
      </c>
      <c r="U39" s="36">
        <v>3</v>
      </c>
      <c r="V39" s="33" t="s">
        <v>289</v>
      </c>
      <c r="W39" s="36">
        <v>210</v>
      </c>
      <c r="X39" s="67" t="s">
        <v>289</v>
      </c>
      <c r="Y39" s="109" t="s">
        <v>289</v>
      </c>
    </row>
    <row r="40" spans="1:25" ht="10.7" customHeight="1" x14ac:dyDescent="0.2">
      <c r="A40" s="149"/>
      <c r="B40" s="23" t="s">
        <v>388</v>
      </c>
      <c r="C40" s="23" t="s">
        <v>390</v>
      </c>
      <c r="D40" s="23" t="s">
        <v>290</v>
      </c>
      <c r="E40" s="23" t="s">
        <v>391</v>
      </c>
      <c r="F40" s="204" t="s">
        <v>289</v>
      </c>
      <c r="G40" s="205">
        <v>10</v>
      </c>
      <c r="H40" s="205">
        <v>150</v>
      </c>
      <c r="I40" s="206" t="s">
        <v>401</v>
      </c>
      <c r="J40" s="23" t="s">
        <v>207</v>
      </c>
      <c r="K40" s="24">
        <v>160</v>
      </c>
      <c r="L40" s="103">
        <v>217.5</v>
      </c>
      <c r="M40" s="104">
        <v>239.25</v>
      </c>
      <c r="N40" s="25">
        <v>0.05</v>
      </c>
      <c r="O40" s="26"/>
      <c r="P40" s="23" t="s">
        <v>86</v>
      </c>
      <c r="Q40" s="67" t="s">
        <v>289</v>
      </c>
      <c r="R40" s="67" t="s">
        <v>289</v>
      </c>
      <c r="S40" s="27">
        <v>5</v>
      </c>
      <c r="T40" s="27">
        <v>2</v>
      </c>
      <c r="U40" s="67" t="s">
        <v>289</v>
      </c>
      <c r="V40" s="67">
        <v>2</v>
      </c>
      <c r="W40" s="67">
        <v>10</v>
      </c>
      <c r="X40" s="67" t="s">
        <v>289</v>
      </c>
      <c r="Y40" s="109" t="s">
        <v>289</v>
      </c>
    </row>
    <row r="41" spans="1:25" ht="10.7" customHeight="1" x14ac:dyDescent="0.2">
      <c r="A41" s="149"/>
      <c r="B41" s="23" t="s">
        <v>389</v>
      </c>
      <c r="C41" s="23" t="s">
        <v>390</v>
      </c>
      <c r="D41" s="23" t="s">
        <v>290</v>
      </c>
      <c r="E41" s="23" t="s">
        <v>392</v>
      </c>
      <c r="F41" s="204" t="s">
        <v>289</v>
      </c>
      <c r="G41" s="205">
        <v>10</v>
      </c>
      <c r="H41" s="205">
        <v>150</v>
      </c>
      <c r="I41" s="206" t="s">
        <v>401</v>
      </c>
      <c r="J41" s="23" t="s">
        <v>207</v>
      </c>
      <c r="K41" s="24">
        <v>160</v>
      </c>
      <c r="L41" s="103">
        <v>217.5</v>
      </c>
      <c r="M41" s="104">
        <v>239.25</v>
      </c>
      <c r="N41" s="25">
        <v>0.05</v>
      </c>
      <c r="O41" s="26"/>
      <c r="P41" s="107" t="s">
        <v>86</v>
      </c>
      <c r="Q41" s="33" t="s">
        <v>289</v>
      </c>
      <c r="R41" s="33" t="s">
        <v>289</v>
      </c>
      <c r="S41" s="27">
        <v>5</v>
      </c>
      <c r="T41" s="27">
        <v>2</v>
      </c>
      <c r="U41" s="33" t="s">
        <v>289</v>
      </c>
      <c r="V41" s="33">
        <v>2</v>
      </c>
      <c r="W41" s="33">
        <v>10</v>
      </c>
      <c r="X41" s="33" t="s">
        <v>289</v>
      </c>
      <c r="Y41" s="109" t="s">
        <v>289</v>
      </c>
    </row>
    <row r="42" spans="1:25" ht="10.7" customHeight="1" x14ac:dyDescent="0.2">
      <c r="A42" s="149"/>
      <c r="B42" s="23" t="s">
        <v>393</v>
      </c>
      <c r="C42" s="23" t="s">
        <v>390</v>
      </c>
      <c r="D42" s="23" t="s">
        <v>290</v>
      </c>
      <c r="E42" s="23" t="s">
        <v>395</v>
      </c>
      <c r="F42" s="204" t="s">
        <v>289</v>
      </c>
      <c r="G42" s="205">
        <v>10</v>
      </c>
      <c r="H42" s="205">
        <v>150</v>
      </c>
      <c r="I42" s="206" t="s">
        <v>401</v>
      </c>
      <c r="J42" s="23" t="s">
        <v>207</v>
      </c>
      <c r="K42" s="24">
        <v>160</v>
      </c>
      <c r="L42" s="103">
        <v>217.5</v>
      </c>
      <c r="M42" s="104">
        <v>239.25</v>
      </c>
      <c r="N42" s="25">
        <v>0.05</v>
      </c>
      <c r="O42" s="26"/>
      <c r="P42" s="23" t="s">
        <v>86</v>
      </c>
      <c r="Q42" s="67" t="s">
        <v>289</v>
      </c>
      <c r="R42" s="67" t="s">
        <v>289</v>
      </c>
      <c r="S42" s="27">
        <v>4</v>
      </c>
      <c r="T42" s="27">
        <v>3</v>
      </c>
      <c r="U42" s="67" t="s">
        <v>289</v>
      </c>
      <c r="V42" s="67">
        <v>2</v>
      </c>
      <c r="W42" s="67">
        <v>25</v>
      </c>
      <c r="X42" s="67" t="s">
        <v>289</v>
      </c>
      <c r="Y42" s="109" t="s">
        <v>289</v>
      </c>
    </row>
    <row r="43" spans="1:25" ht="10.7" customHeight="1" x14ac:dyDescent="0.2">
      <c r="A43" s="149"/>
      <c r="B43" s="23" t="s">
        <v>394</v>
      </c>
      <c r="C43" s="23" t="s">
        <v>390</v>
      </c>
      <c r="D43" s="23" t="s">
        <v>290</v>
      </c>
      <c r="E43" s="23" t="s">
        <v>396</v>
      </c>
      <c r="F43" s="204" t="s">
        <v>289</v>
      </c>
      <c r="G43" s="205">
        <v>10</v>
      </c>
      <c r="H43" s="205">
        <v>150</v>
      </c>
      <c r="I43" s="206" t="s">
        <v>401</v>
      </c>
      <c r="J43" s="23" t="s">
        <v>207</v>
      </c>
      <c r="K43" s="24">
        <v>160</v>
      </c>
      <c r="L43" s="103">
        <v>217.5</v>
      </c>
      <c r="M43" s="104">
        <v>239.25</v>
      </c>
      <c r="N43" s="25">
        <v>0.05</v>
      </c>
      <c r="O43" s="26"/>
      <c r="P43" s="107" t="s">
        <v>86</v>
      </c>
      <c r="Q43" s="33" t="s">
        <v>289</v>
      </c>
      <c r="R43" s="33" t="s">
        <v>289</v>
      </c>
      <c r="S43" s="27">
        <v>4</v>
      </c>
      <c r="T43" s="27">
        <v>3</v>
      </c>
      <c r="U43" s="33" t="s">
        <v>289</v>
      </c>
      <c r="V43" s="33">
        <v>2</v>
      </c>
      <c r="W43" s="33">
        <v>25</v>
      </c>
      <c r="X43" s="33" t="s">
        <v>289</v>
      </c>
      <c r="Y43" s="109" t="s">
        <v>289</v>
      </c>
    </row>
    <row r="44" spans="1:25" ht="21.4" customHeight="1" x14ac:dyDescent="0.2">
      <c r="A44" s="149"/>
      <c r="B44" s="99" t="s">
        <v>291</v>
      </c>
      <c r="C44" s="100" t="s">
        <v>292</v>
      </c>
      <c r="D44" s="100" t="s">
        <v>311</v>
      </c>
      <c r="E44" s="100" t="s">
        <v>312</v>
      </c>
      <c r="F44" s="171" t="s">
        <v>406</v>
      </c>
      <c r="G44" s="171"/>
      <c r="H44" s="171"/>
      <c r="I44" s="171"/>
      <c r="J44" s="100"/>
      <c r="K44" s="101"/>
      <c r="L44" s="101"/>
      <c r="M44" s="101"/>
      <c r="N44" s="227" t="s">
        <v>289</v>
      </c>
      <c r="O44" s="102"/>
      <c r="P44" s="108" t="s">
        <v>208</v>
      </c>
      <c r="Q44" s="27">
        <v>2</v>
      </c>
      <c r="R44" s="33" t="s">
        <v>289</v>
      </c>
      <c r="S44" s="68" t="s">
        <v>289</v>
      </c>
      <c r="T44" s="69">
        <v>3</v>
      </c>
      <c r="U44" s="68" t="s">
        <v>289</v>
      </c>
      <c r="V44" s="33" t="s">
        <v>289</v>
      </c>
      <c r="W44" s="69">
        <v>25</v>
      </c>
      <c r="X44" s="69">
        <v>1</v>
      </c>
      <c r="Y44" s="110" t="s">
        <v>316</v>
      </c>
    </row>
    <row r="45" spans="1:25" ht="21.4" customHeight="1" x14ac:dyDescent="0.2">
      <c r="A45" s="149"/>
      <c r="B45" s="37" t="s">
        <v>291</v>
      </c>
      <c r="C45" s="23" t="s">
        <v>292</v>
      </c>
      <c r="D45" s="23" t="s">
        <v>311</v>
      </c>
      <c r="E45" s="23" t="s">
        <v>313</v>
      </c>
      <c r="F45" s="171" t="s">
        <v>406</v>
      </c>
      <c r="G45" s="171"/>
      <c r="H45" s="171"/>
      <c r="I45" s="171"/>
      <c r="K45" s="24"/>
      <c r="L45" s="24"/>
      <c r="M45" s="24"/>
      <c r="N45" s="227" t="s">
        <v>289</v>
      </c>
      <c r="O45" s="26"/>
      <c r="P45" s="16" t="s">
        <v>208</v>
      </c>
      <c r="Q45" s="27">
        <v>2</v>
      </c>
      <c r="R45" s="33" t="s">
        <v>289</v>
      </c>
      <c r="S45" s="33" t="s">
        <v>289</v>
      </c>
      <c r="T45" s="27">
        <v>3</v>
      </c>
      <c r="U45" s="33" t="s">
        <v>289</v>
      </c>
      <c r="V45" s="33" t="s">
        <v>289</v>
      </c>
      <c r="W45" s="27">
        <v>25</v>
      </c>
      <c r="X45" s="27">
        <v>1</v>
      </c>
      <c r="Y45" s="45" t="s">
        <v>316</v>
      </c>
    </row>
    <row r="46" spans="1:25" ht="10.7" customHeight="1" x14ac:dyDescent="0.2">
      <c r="A46" s="149"/>
      <c r="B46" s="37" t="s">
        <v>291</v>
      </c>
      <c r="C46" s="23" t="s">
        <v>292</v>
      </c>
      <c r="D46" s="23" t="s">
        <v>290</v>
      </c>
      <c r="E46" s="23" t="s">
        <v>314</v>
      </c>
      <c r="F46" s="171" t="s">
        <v>406</v>
      </c>
      <c r="G46" s="171"/>
      <c r="H46" s="171"/>
      <c r="I46" s="171"/>
      <c r="J46" s="23"/>
      <c r="K46" s="24"/>
      <c r="L46" s="24"/>
      <c r="M46" s="24"/>
      <c r="N46" s="227" t="s">
        <v>289</v>
      </c>
      <c r="O46" s="26"/>
      <c r="P46" s="16" t="s">
        <v>208</v>
      </c>
      <c r="Q46" s="27">
        <v>4</v>
      </c>
      <c r="R46" s="33" t="s">
        <v>289</v>
      </c>
      <c r="S46" s="33" t="s">
        <v>289</v>
      </c>
      <c r="T46" s="27">
        <v>8</v>
      </c>
      <c r="U46" s="33">
        <v>2</v>
      </c>
      <c r="V46" s="33" t="s">
        <v>289</v>
      </c>
      <c r="W46" s="27">
        <v>140</v>
      </c>
      <c r="X46" s="33" t="s">
        <v>289</v>
      </c>
      <c r="Y46" s="65" t="s">
        <v>289</v>
      </c>
    </row>
    <row r="47" spans="1:25" ht="10.7" customHeight="1" thickBot="1" x14ac:dyDescent="0.25">
      <c r="A47" s="150"/>
      <c r="B47" s="47" t="s">
        <v>291</v>
      </c>
      <c r="C47" s="48" t="s">
        <v>292</v>
      </c>
      <c r="D47" s="48" t="s">
        <v>290</v>
      </c>
      <c r="E47" s="48" t="s">
        <v>317</v>
      </c>
      <c r="F47" s="171" t="s">
        <v>406</v>
      </c>
      <c r="G47" s="171"/>
      <c r="H47" s="171"/>
      <c r="I47" s="171"/>
      <c r="J47" s="48"/>
      <c r="K47" s="49"/>
      <c r="L47" s="49"/>
      <c r="M47" s="49"/>
      <c r="N47" s="227" t="s">
        <v>289</v>
      </c>
      <c r="O47" s="50"/>
      <c r="P47" s="51" t="s">
        <v>289</v>
      </c>
      <c r="Q47" s="105">
        <v>12</v>
      </c>
      <c r="R47" s="70" t="s">
        <v>289</v>
      </c>
      <c r="S47" s="70">
        <v>4</v>
      </c>
      <c r="T47" s="105">
        <v>10</v>
      </c>
      <c r="U47" s="70">
        <v>8</v>
      </c>
      <c r="V47" s="70" t="s">
        <v>289</v>
      </c>
      <c r="W47" s="105">
        <v>160</v>
      </c>
      <c r="X47" s="105">
        <v>20</v>
      </c>
      <c r="Y47" s="106" t="s">
        <v>316</v>
      </c>
    </row>
    <row r="48" spans="1:25" ht="10.7" customHeight="1" x14ac:dyDescent="0.2">
      <c r="A48" s="163" t="s">
        <v>359</v>
      </c>
      <c r="B48" s="55" t="s">
        <v>233</v>
      </c>
      <c r="C48" s="56" t="s">
        <v>234</v>
      </c>
      <c r="D48" s="56" t="s">
        <v>235</v>
      </c>
      <c r="E48" s="56" t="s">
        <v>223</v>
      </c>
      <c r="F48" s="56" t="s">
        <v>205</v>
      </c>
      <c r="G48" s="57">
        <v>40</v>
      </c>
      <c r="H48" s="57">
        <v>150</v>
      </c>
      <c r="I48" s="56" t="s">
        <v>206</v>
      </c>
      <c r="J48" s="56" t="s">
        <v>207</v>
      </c>
      <c r="K48" s="57">
        <v>20</v>
      </c>
      <c r="L48" s="57">
        <v>25</v>
      </c>
      <c r="M48" s="58">
        <v>27.5</v>
      </c>
      <c r="N48" s="59">
        <v>0.05</v>
      </c>
      <c r="O48" s="61"/>
      <c r="P48" s="56" t="s">
        <v>208</v>
      </c>
      <c r="Q48" s="71" t="s">
        <v>289</v>
      </c>
      <c r="R48" s="71" t="s">
        <v>289</v>
      </c>
      <c r="S48" s="62">
        <v>4</v>
      </c>
      <c r="T48" s="62">
        <v>2</v>
      </c>
      <c r="U48" s="71" t="s">
        <v>289</v>
      </c>
      <c r="V48" s="68" t="s">
        <v>289</v>
      </c>
      <c r="W48" s="62">
        <v>10</v>
      </c>
      <c r="X48" s="62">
        <v>2</v>
      </c>
      <c r="Y48" s="64" t="s">
        <v>318</v>
      </c>
    </row>
    <row r="49" spans="1:25" ht="10.7" customHeight="1" x14ac:dyDescent="0.25">
      <c r="A49" s="164"/>
      <c r="B49" s="122" t="s">
        <v>236</v>
      </c>
      <c r="C49" s="113" t="s">
        <v>234</v>
      </c>
      <c r="D49" s="113" t="s">
        <v>235</v>
      </c>
      <c r="E49" s="113" t="s">
        <v>211</v>
      </c>
      <c r="F49" s="113" t="s">
        <v>205</v>
      </c>
      <c r="G49" s="151">
        <v>40</v>
      </c>
      <c r="H49" s="151">
        <v>150</v>
      </c>
      <c r="I49" s="113" t="s">
        <v>206</v>
      </c>
      <c r="J49" s="16" t="s">
        <v>207</v>
      </c>
      <c r="K49" s="17">
        <v>125</v>
      </c>
      <c r="L49" s="20">
        <v>217.5</v>
      </c>
      <c r="M49" s="21">
        <v>239.25</v>
      </c>
      <c r="N49" s="115">
        <v>0.05</v>
      </c>
      <c r="O49" s="117"/>
      <c r="P49" s="113" t="s">
        <v>208</v>
      </c>
      <c r="Q49" s="121" t="s">
        <v>289</v>
      </c>
      <c r="R49" s="121" t="s">
        <v>289</v>
      </c>
      <c r="S49" s="113">
        <v>8</v>
      </c>
      <c r="T49" s="113">
        <v>4</v>
      </c>
      <c r="U49" s="121" t="s">
        <v>289</v>
      </c>
      <c r="V49" s="121" t="s">
        <v>289</v>
      </c>
      <c r="W49" s="113">
        <v>45</v>
      </c>
      <c r="X49" s="34">
        <v>2</v>
      </c>
      <c r="Y49" s="60" t="s">
        <v>318</v>
      </c>
    </row>
    <row r="50" spans="1:25" ht="10.7" customHeight="1" x14ac:dyDescent="0.25">
      <c r="A50" s="164"/>
      <c r="B50" s="123"/>
      <c r="C50" s="114"/>
      <c r="D50" s="114"/>
      <c r="E50" s="114"/>
      <c r="F50" s="114"/>
      <c r="G50" s="152"/>
      <c r="H50" s="152"/>
      <c r="I50" s="114"/>
      <c r="J50" s="16"/>
      <c r="K50" s="17"/>
      <c r="L50" s="20"/>
      <c r="M50" s="21"/>
      <c r="N50" s="116"/>
      <c r="O50" s="118"/>
      <c r="P50" s="114"/>
      <c r="Q50" s="121"/>
      <c r="R50" s="121"/>
      <c r="S50" s="114"/>
      <c r="T50" s="114"/>
      <c r="U50" s="121"/>
      <c r="V50" s="121"/>
      <c r="W50" s="114"/>
      <c r="X50" s="34">
        <v>1</v>
      </c>
      <c r="Y50" s="60" t="s">
        <v>308</v>
      </c>
    </row>
    <row r="51" spans="1:25" s="30" customFormat="1" ht="10.7" customHeight="1" x14ac:dyDescent="0.25">
      <c r="A51" s="164"/>
      <c r="B51" s="122" t="s">
        <v>237</v>
      </c>
      <c r="C51" s="113" t="s">
        <v>234</v>
      </c>
      <c r="D51" s="113" t="s">
        <v>210</v>
      </c>
      <c r="E51" s="113" t="s">
        <v>229</v>
      </c>
      <c r="F51" s="113" t="s">
        <v>205</v>
      </c>
      <c r="G51" s="151">
        <v>40</v>
      </c>
      <c r="H51" s="151">
        <v>150</v>
      </c>
      <c r="I51" s="113" t="s">
        <v>206</v>
      </c>
      <c r="J51" s="34" t="s">
        <v>207</v>
      </c>
      <c r="K51" s="35">
        <v>25</v>
      </c>
      <c r="L51" s="35">
        <v>50</v>
      </c>
      <c r="M51" s="35">
        <v>55</v>
      </c>
      <c r="N51" s="115">
        <v>0.05</v>
      </c>
      <c r="O51" s="117"/>
      <c r="P51" s="119" t="s">
        <v>208</v>
      </c>
      <c r="Q51" s="121" t="s">
        <v>289</v>
      </c>
      <c r="R51" s="121" t="s">
        <v>289</v>
      </c>
      <c r="S51" s="122">
        <v>6</v>
      </c>
      <c r="T51" s="113">
        <v>3</v>
      </c>
      <c r="U51" s="113">
        <v>1</v>
      </c>
      <c r="V51" s="121" t="s">
        <v>289</v>
      </c>
      <c r="W51" s="113">
        <v>5</v>
      </c>
      <c r="X51" s="34">
        <v>1</v>
      </c>
      <c r="Y51" s="60" t="s">
        <v>320</v>
      </c>
    </row>
    <row r="52" spans="1:25" s="30" customFormat="1" ht="10.7" customHeight="1" x14ac:dyDescent="0.25">
      <c r="A52" s="164"/>
      <c r="B52" s="123"/>
      <c r="C52" s="114"/>
      <c r="D52" s="114"/>
      <c r="E52" s="114"/>
      <c r="F52" s="114"/>
      <c r="G52" s="152"/>
      <c r="H52" s="152"/>
      <c r="I52" s="114"/>
      <c r="J52" s="34"/>
      <c r="K52" s="35"/>
      <c r="L52" s="35"/>
      <c r="M52" s="35"/>
      <c r="N52" s="116"/>
      <c r="O52" s="118"/>
      <c r="P52" s="120"/>
      <c r="Q52" s="121"/>
      <c r="R52" s="121"/>
      <c r="S52" s="123"/>
      <c r="T52" s="114"/>
      <c r="U52" s="114"/>
      <c r="V52" s="121"/>
      <c r="W52" s="114"/>
      <c r="X52" s="34">
        <v>1</v>
      </c>
      <c r="Y52" s="60" t="s">
        <v>310</v>
      </c>
    </row>
    <row r="53" spans="1:25" ht="10.7" customHeight="1" x14ac:dyDescent="0.25">
      <c r="A53" s="164"/>
      <c r="B53" s="41" t="s">
        <v>238</v>
      </c>
      <c r="C53" s="16" t="s">
        <v>234</v>
      </c>
      <c r="D53" s="16" t="s">
        <v>222</v>
      </c>
      <c r="E53" s="16" t="s">
        <v>212</v>
      </c>
      <c r="F53" s="16" t="s">
        <v>205</v>
      </c>
      <c r="G53" s="17">
        <v>40</v>
      </c>
      <c r="H53" s="17">
        <v>150</v>
      </c>
      <c r="I53" s="16" t="s">
        <v>206</v>
      </c>
      <c r="J53" s="16" t="s">
        <v>207</v>
      </c>
      <c r="K53" s="17">
        <v>160</v>
      </c>
      <c r="L53" s="20">
        <v>217.5</v>
      </c>
      <c r="M53" s="21">
        <v>239.25</v>
      </c>
      <c r="N53" s="18">
        <v>0.05</v>
      </c>
      <c r="O53" s="16" t="s">
        <v>208</v>
      </c>
      <c r="P53" s="16" t="s">
        <v>208</v>
      </c>
      <c r="Q53" s="33" t="s">
        <v>289</v>
      </c>
      <c r="R53" s="33" t="s">
        <v>289</v>
      </c>
      <c r="S53" s="34">
        <v>2</v>
      </c>
      <c r="T53" s="34">
        <v>8</v>
      </c>
      <c r="U53" s="33" t="s">
        <v>289</v>
      </c>
      <c r="V53" s="33" t="s">
        <v>289</v>
      </c>
      <c r="W53" s="34">
        <v>200</v>
      </c>
      <c r="X53" s="34">
        <v>2</v>
      </c>
      <c r="Y53" s="60" t="s">
        <v>319</v>
      </c>
    </row>
    <row r="54" spans="1:25" ht="10.7" customHeight="1" x14ac:dyDescent="0.2">
      <c r="A54" s="164"/>
      <c r="B54" s="41" t="s">
        <v>239</v>
      </c>
      <c r="C54" s="16" t="s">
        <v>234</v>
      </c>
      <c r="D54" s="16" t="s">
        <v>222</v>
      </c>
      <c r="E54" s="16" t="s">
        <v>232</v>
      </c>
      <c r="F54" s="16" t="s">
        <v>205</v>
      </c>
      <c r="G54" s="17">
        <v>40</v>
      </c>
      <c r="H54" s="17">
        <v>150</v>
      </c>
      <c r="I54" s="16" t="s">
        <v>206</v>
      </c>
      <c r="J54" s="16" t="s">
        <v>207</v>
      </c>
      <c r="K54" s="17">
        <v>160</v>
      </c>
      <c r="L54" s="20">
        <v>217.5</v>
      </c>
      <c r="M54" s="21">
        <v>239.25</v>
      </c>
      <c r="N54" s="18">
        <v>0.05</v>
      </c>
      <c r="O54" s="19"/>
      <c r="P54" s="16" t="s">
        <v>208</v>
      </c>
      <c r="Q54" s="33" t="s">
        <v>289</v>
      </c>
      <c r="R54" s="33" t="s">
        <v>289</v>
      </c>
      <c r="S54" s="34">
        <v>8</v>
      </c>
      <c r="T54" s="34">
        <v>8</v>
      </c>
      <c r="U54" s="33" t="s">
        <v>289</v>
      </c>
      <c r="V54" s="33" t="s">
        <v>289</v>
      </c>
      <c r="W54" s="34">
        <v>170</v>
      </c>
      <c r="X54" s="34">
        <v>2</v>
      </c>
      <c r="Y54" s="60" t="s">
        <v>319</v>
      </c>
    </row>
    <row r="55" spans="1:25" ht="10.7" customHeight="1" thickBot="1" x14ac:dyDescent="0.25">
      <c r="A55" s="165"/>
      <c r="B55" s="47" t="s">
        <v>291</v>
      </c>
      <c r="C55" s="48" t="s">
        <v>292</v>
      </c>
      <c r="D55" s="48" t="s">
        <v>290</v>
      </c>
      <c r="E55" s="48" t="s">
        <v>321</v>
      </c>
      <c r="F55" s="171" t="s">
        <v>406</v>
      </c>
      <c r="G55" s="171"/>
      <c r="H55" s="171"/>
      <c r="I55" s="171"/>
      <c r="J55" s="48"/>
      <c r="K55" s="49"/>
      <c r="L55" s="49"/>
      <c r="M55" s="49"/>
      <c r="N55" s="227" t="s">
        <v>289</v>
      </c>
      <c r="O55" s="50"/>
      <c r="P55" s="51" t="s">
        <v>289</v>
      </c>
      <c r="Q55" s="105">
        <v>8</v>
      </c>
      <c r="R55" s="70" t="s">
        <v>289</v>
      </c>
      <c r="S55" s="70" t="s">
        <v>289</v>
      </c>
      <c r="T55" s="105">
        <v>4</v>
      </c>
      <c r="U55" s="70">
        <v>4</v>
      </c>
      <c r="V55" s="70"/>
      <c r="W55" s="105">
        <v>60</v>
      </c>
      <c r="X55" s="105">
        <v>5</v>
      </c>
      <c r="Y55" s="106" t="s">
        <v>316</v>
      </c>
    </row>
    <row r="56" spans="1:25" ht="10.7" customHeight="1" x14ac:dyDescent="0.25">
      <c r="A56" s="163" t="s">
        <v>360</v>
      </c>
      <c r="B56" s="55" t="s">
        <v>240</v>
      </c>
      <c r="C56" s="56" t="s">
        <v>241</v>
      </c>
      <c r="D56" s="56" t="s">
        <v>235</v>
      </c>
      <c r="E56" s="56" t="s">
        <v>223</v>
      </c>
      <c r="F56" s="56" t="s">
        <v>205</v>
      </c>
      <c r="G56" s="57">
        <v>40</v>
      </c>
      <c r="H56" s="57">
        <v>150</v>
      </c>
      <c r="I56" s="56" t="s">
        <v>206</v>
      </c>
      <c r="J56" s="56" t="s">
        <v>207</v>
      </c>
      <c r="K56" s="57">
        <v>20</v>
      </c>
      <c r="L56" s="57">
        <v>25</v>
      </c>
      <c r="M56" s="58">
        <v>27.5</v>
      </c>
      <c r="N56" s="59">
        <v>0.05</v>
      </c>
      <c r="O56" s="56" t="s">
        <v>208</v>
      </c>
      <c r="P56" s="56" t="s">
        <v>208</v>
      </c>
      <c r="Q56" s="71" t="s">
        <v>289</v>
      </c>
      <c r="R56" s="71" t="s">
        <v>289</v>
      </c>
      <c r="S56" s="62">
        <v>4</v>
      </c>
      <c r="T56" s="62">
        <v>2</v>
      </c>
      <c r="U56" s="71">
        <v>1</v>
      </c>
      <c r="V56" s="71" t="s">
        <v>289</v>
      </c>
      <c r="W56" s="62">
        <v>15</v>
      </c>
      <c r="X56" s="71" t="s">
        <v>289</v>
      </c>
      <c r="Y56" s="111" t="s">
        <v>289</v>
      </c>
    </row>
    <row r="57" spans="1:25" ht="10.7" customHeight="1" x14ac:dyDescent="0.25">
      <c r="A57" s="164"/>
      <c r="B57" s="41" t="s">
        <v>242</v>
      </c>
      <c r="C57" s="16" t="s">
        <v>241</v>
      </c>
      <c r="D57" s="16" t="s">
        <v>235</v>
      </c>
      <c r="E57" s="16" t="s">
        <v>225</v>
      </c>
      <c r="F57" s="16" t="s">
        <v>205</v>
      </c>
      <c r="G57" s="17">
        <v>40</v>
      </c>
      <c r="H57" s="17">
        <v>150</v>
      </c>
      <c r="I57" s="16" t="s">
        <v>206</v>
      </c>
      <c r="J57" s="16" t="s">
        <v>207</v>
      </c>
      <c r="K57" s="17">
        <v>60</v>
      </c>
      <c r="L57" s="17">
        <v>65</v>
      </c>
      <c r="M57" s="20">
        <v>71.5</v>
      </c>
      <c r="N57" s="18">
        <v>0.05</v>
      </c>
      <c r="O57" s="16" t="s">
        <v>208</v>
      </c>
      <c r="P57" s="16" t="s">
        <v>208</v>
      </c>
      <c r="Q57" s="33" t="s">
        <v>289</v>
      </c>
      <c r="R57" s="33" t="s">
        <v>289</v>
      </c>
      <c r="S57" s="34">
        <v>4</v>
      </c>
      <c r="T57" s="34">
        <v>9</v>
      </c>
      <c r="U57" s="33" t="s">
        <v>289</v>
      </c>
      <c r="V57" s="33" t="s">
        <v>289</v>
      </c>
      <c r="W57" s="34">
        <v>120</v>
      </c>
      <c r="X57" s="33" t="s">
        <v>289</v>
      </c>
      <c r="Y57" s="65" t="s">
        <v>289</v>
      </c>
    </row>
    <row r="58" spans="1:25" ht="10.7" customHeight="1" x14ac:dyDescent="0.25">
      <c r="A58" s="164"/>
      <c r="B58" s="41" t="s">
        <v>243</v>
      </c>
      <c r="C58" s="16" t="s">
        <v>241</v>
      </c>
      <c r="D58" s="16" t="s">
        <v>235</v>
      </c>
      <c r="E58" s="16" t="s">
        <v>211</v>
      </c>
      <c r="F58" s="16" t="s">
        <v>205</v>
      </c>
      <c r="G58" s="17">
        <v>40</v>
      </c>
      <c r="H58" s="17">
        <v>150</v>
      </c>
      <c r="I58" s="16" t="s">
        <v>206</v>
      </c>
      <c r="J58" s="16" t="s">
        <v>207</v>
      </c>
      <c r="K58" s="17">
        <v>125</v>
      </c>
      <c r="L58" s="20">
        <v>217.5</v>
      </c>
      <c r="M58" s="21">
        <v>239.25</v>
      </c>
      <c r="N58" s="18">
        <v>0.05</v>
      </c>
      <c r="O58" s="16" t="s">
        <v>208</v>
      </c>
      <c r="P58" s="16" t="s">
        <v>208</v>
      </c>
      <c r="Q58" s="33" t="s">
        <v>289</v>
      </c>
      <c r="R58" s="33" t="s">
        <v>289</v>
      </c>
      <c r="S58" s="34">
        <v>28</v>
      </c>
      <c r="T58" s="34">
        <v>12</v>
      </c>
      <c r="U58" s="34">
        <v>2</v>
      </c>
      <c r="V58" s="34"/>
      <c r="W58" s="34">
        <v>240</v>
      </c>
      <c r="X58" s="33" t="s">
        <v>289</v>
      </c>
      <c r="Y58" s="65" t="s">
        <v>289</v>
      </c>
    </row>
    <row r="59" spans="1:25" s="30" customFormat="1" ht="10.7" customHeight="1" x14ac:dyDescent="0.25">
      <c r="A59" s="164"/>
      <c r="B59" s="122" t="s">
        <v>244</v>
      </c>
      <c r="C59" s="113" t="s">
        <v>245</v>
      </c>
      <c r="D59" s="113" t="s">
        <v>222</v>
      </c>
      <c r="E59" s="113" t="s">
        <v>229</v>
      </c>
      <c r="F59" s="113" t="s">
        <v>205</v>
      </c>
      <c r="G59" s="151">
        <v>40</v>
      </c>
      <c r="H59" s="151">
        <v>150</v>
      </c>
      <c r="I59" s="113" t="s">
        <v>206</v>
      </c>
      <c r="J59" s="34" t="s">
        <v>207</v>
      </c>
      <c r="K59" s="35">
        <v>25</v>
      </c>
      <c r="L59" s="35">
        <v>50</v>
      </c>
      <c r="M59" s="35">
        <v>55</v>
      </c>
      <c r="N59" s="115">
        <v>0.05</v>
      </c>
      <c r="O59" s="117"/>
      <c r="P59" s="119" t="s">
        <v>208</v>
      </c>
      <c r="Q59" s="121" t="s">
        <v>289</v>
      </c>
      <c r="R59" s="121" t="s">
        <v>289</v>
      </c>
      <c r="S59" s="122">
        <v>12</v>
      </c>
      <c r="T59" s="113">
        <v>8</v>
      </c>
      <c r="U59" s="113">
        <v>3</v>
      </c>
      <c r="V59" s="121" t="s">
        <v>289</v>
      </c>
      <c r="W59" s="113">
        <v>50</v>
      </c>
      <c r="X59" s="34">
        <v>2</v>
      </c>
      <c r="Y59" s="60" t="s">
        <v>309</v>
      </c>
    </row>
    <row r="60" spans="1:25" s="30" customFormat="1" ht="10.7" customHeight="1" x14ac:dyDescent="0.25">
      <c r="A60" s="164"/>
      <c r="B60" s="123"/>
      <c r="C60" s="114"/>
      <c r="D60" s="114"/>
      <c r="E60" s="114"/>
      <c r="F60" s="114"/>
      <c r="G60" s="152"/>
      <c r="H60" s="152"/>
      <c r="I60" s="114"/>
      <c r="J60" s="34"/>
      <c r="K60" s="35"/>
      <c r="L60" s="35"/>
      <c r="M60" s="35"/>
      <c r="N60" s="116"/>
      <c r="O60" s="118"/>
      <c r="P60" s="120"/>
      <c r="Q60" s="121"/>
      <c r="R60" s="121"/>
      <c r="S60" s="123"/>
      <c r="T60" s="114"/>
      <c r="U60" s="114"/>
      <c r="V60" s="121"/>
      <c r="W60" s="114"/>
      <c r="X60" s="34">
        <v>2</v>
      </c>
      <c r="Y60" s="60" t="s">
        <v>310</v>
      </c>
    </row>
    <row r="61" spans="1:25" ht="10.7" customHeight="1" x14ac:dyDescent="0.2">
      <c r="A61" s="164"/>
      <c r="B61" s="41" t="s">
        <v>246</v>
      </c>
      <c r="C61" s="16" t="s">
        <v>245</v>
      </c>
      <c r="D61" s="16" t="s">
        <v>222</v>
      </c>
      <c r="E61" s="16" t="s">
        <v>212</v>
      </c>
      <c r="F61" s="16" t="s">
        <v>205</v>
      </c>
      <c r="G61" s="17">
        <v>40</v>
      </c>
      <c r="H61" s="17">
        <v>150</v>
      </c>
      <c r="I61" s="16" t="s">
        <v>206</v>
      </c>
      <c r="J61" s="16" t="s">
        <v>207</v>
      </c>
      <c r="K61" s="17">
        <v>160</v>
      </c>
      <c r="L61" s="20">
        <v>217.5</v>
      </c>
      <c r="M61" s="21">
        <v>239.25</v>
      </c>
      <c r="N61" s="18">
        <v>0.05</v>
      </c>
      <c r="O61" s="19"/>
      <c r="P61" s="16" t="s">
        <v>208</v>
      </c>
      <c r="Q61" s="33" t="s">
        <v>289</v>
      </c>
      <c r="R61" s="33" t="s">
        <v>289</v>
      </c>
      <c r="S61" s="34">
        <v>2</v>
      </c>
      <c r="T61" s="33" t="s">
        <v>289</v>
      </c>
      <c r="U61" s="33" t="s">
        <v>289</v>
      </c>
      <c r="V61" s="112"/>
      <c r="W61" s="34">
        <v>200</v>
      </c>
      <c r="X61" s="33" t="s">
        <v>289</v>
      </c>
      <c r="Y61" s="65" t="s">
        <v>289</v>
      </c>
    </row>
    <row r="62" spans="1:25" ht="10.7" customHeight="1" x14ac:dyDescent="0.2">
      <c r="A62" s="164"/>
      <c r="B62" s="41" t="s">
        <v>247</v>
      </c>
      <c r="C62" s="16" t="s">
        <v>245</v>
      </c>
      <c r="D62" s="16" t="s">
        <v>222</v>
      </c>
      <c r="E62" s="16" t="s">
        <v>232</v>
      </c>
      <c r="F62" s="16" t="s">
        <v>205</v>
      </c>
      <c r="G62" s="17">
        <v>40</v>
      </c>
      <c r="H62" s="17">
        <v>150</v>
      </c>
      <c r="I62" s="16" t="s">
        <v>206</v>
      </c>
      <c r="J62" s="16" t="s">
        <v>207</v>
      </c>
      <c r="K62" s="17">
        <v>160</v>
      </c>
      <c r="L62" s="20">
        <v>217.5</v>
      </c>
      <c r="M62" s="21">
        <v>239.25</v>
      </c>
      <c r="N62" s="18">
        <v>0.05</v>
      </c>
      <c r="O62" s="19"/>
      <c r="P62" s="16" t="s">
        <v>208</v>
      </c>
      <c r="Q62" s="33" t="s">
        <v>289</v>
      </c>
      <c r="R62" s="33" t="s">
        <v>289</v>
      </c>
      <c r="S62" s="34">
        <v>16</v>
      </c>
      <c r="T62" s="34">
        <v>6</v>
      </c>
      <c r="U62" s="34">
        <v>1</v>
      </c>
      <c r="V62" s="34"/>
      <c r="W62" s="34">
        <v>140</v>
      </c>
      <c r="X62" s="33" t="s">
        <v>289</v>
      </c>
      <c r="Y62" s="65" t="s">
        <v>289</v>
      </c>
    </row>
    <row r="63" spans="1:25" s="30" customFormat="1" ht="10.7" customHeight="1" x14ac:dyDescent="0.25">
      <c r="A63" s="164"/>
      <c r="B63" s="122" t="s">
        <v>248</v>
      </c>
      <c r="C63" s="113" t="s">
        <v>249</v>
      </c>
      <c r="D63" s="113" t="s">
        <v>222</v>
      </c>
      <c r="E63" s="113" t="s">
        <v>229</v>
      </c>
      <c r="F63" s="113" t="s">
        <v>205</v>
      </c>
      <c r="G63" s="151">
        <v>40</v>
      </c>
      <c r="H63" s="151">
        <v>150</v>
      </c>
      <c r="I63" s="113" t="s">
        <v>206</v>
      </c>
      <c r="J63" s="34" t="s">
        <v>207</v>
      </c>
      <c r="K63" s="35">
        <v>25</v>
      </c>
      <c r="L63" s="35">
        <v>50</v>
      </c>
      <c r="M63" s="35">
        <v>55</v>
      </c>
      <c r="N63" s="115">
        <v>0.05</v>
      </c>
      <c r="O63" s="117"/>
      <c r="P63" s="119" t="s">
        <v>208</v>
      </c>
      <c r="Q63" s="121" t="s">
        <v>289</v>
      </c>
      <c r="R63" s="121" t="s">
        <v>289</v>
      </c>
      <c r="S63" s="122">
        <v>6</v>
      </c>
      <c r="T63" s="113">
        <v>3</v>
      </c>
      <c r="U63" s="113">
        <v>1</v>
      </c>
      <c r="V63" s="121" t="s">
        <v>289</v>
      </c>
      <c r="W63" s="113">
        <v>10</v>
      </c>
      <c r="X63" s="34">
        <v>1</v>
      </c>
      <c r="Y63" s="60" t="s">
        <v>309</v>
      </c>
    </row>
    <row r="64" spans="1:25" s="30" customFormat="1" ht="10.7" customHeight="1" x14ac:dyDescent="0.25">
      <c r="A64" s="164"/>
      <c r="B64" s="123"/>
      <c r="C64" s="114"/>
      <c r="D64" s="114"/>
      <c r="E64" s="114"/>
      <c r="F64" s="114"/>
      <c r="G64" s="152"/>
      <c r="H64" s="152"/>
      <c r="I64" s="114"/>
      <c r="J64" s="34"/>
      <c r="K64" s="35"/>
      <c r="L64" s="35"/>
      <c r="M64" s="35"/>
      <c r="N64" s="116"/>
      <c r="O64" s="118"/>
      <c r="P64" s="120"/>
      <c r="Q64" s="121"/>
      <c r="R64" s="121"/>
      <c r="S64" s="123"/>
      <c r="T64" s="114"/>
      <c r="U64" s="114"/>
      <c r="V64" s="121"/>
      <c r="W64" s="114"/>
      <c r="X64" s="34">
        <v>1</v>
      </c>
      <c r="Y64" s="60" t="s">
        <v>310</v>
      </c>
    </row>
    <row r="65" spans="1:25" ht="10.7" customHeight="1" x14ac:dyDescent="0.2">
      <c r="A65" s="164"/>
      <c r="B65" s="41" t="s">
        <v>250</v>
      </c>
      <c r="C65" s="16" t="s">
        <v>249</v>
      </c>
      <c r="D65" s="16" t="s">
        <v>222</v>
      </c>
      <c r="E65" s="16" t="s">
        <v>212</v>
      </c>
      <c r="F65" s="16" t="s">
        <v>205</v>
      </c>
      <c r="G65" s="17">
        <v>40</v>
      </c>
      <c r="H65" s="17">
        <v>150</v>
      </c>
      <c r="I65" s="16" t="s">
        <v>206</v>
      </c>
      <c r="J65" s="16" t="s">
        <v>207</v>
      </c>
      <c r="K65" s="17">
        <v>160</v>
      </c>
      <c r="L65" s="20">
        <v>217.5</v>
      </c>
      <c r="M65" s="21">
        <v>239.25</v>
      </c>
      <c r="N65" s="18">
        <v>0.05</v>
      </c>
      <c r="O65" s="19"/>
      <c r="P65" s="16" t="s">
        <v>208</v>
      </c>
      <c r="Q65" s="33" t="s">
        <v>289</v>
      </c>
      <c r="R65" s="33" t="s">
        <v>289</v>
      </c>
      <c r="S65" s="34">
        <v>2</v>
      </c>
      <c r="T65" s="34">
        <v>8</v>
      </c>
      <c r="U65" s="33" t="s">
        <v>289</v>
      </c>
      <c r="V65" s="33" t="s">
        <v>289</v>
      </c>
      <c r="W65" s="34">
        <v>200</v>
      </c>
      <c r="X65" s="33" t="s">
        <v>289</v>
      </c>
      <c r="Y65" s="65" t="s">
        <v>289</v>
      </c>
    </row>
    <row r="66" spans="1:25" ht="10.7" customHeight="1" x14ac:dyDescent="0.2">
      <c r="A66" s="164"/>
      <c r="B66" s="41" t="s">
        <v>251</v>
      </c>
      <c r="C66" s="16" t="s">
        <v>249</v>
      </c>
      <c r="D66" s="16" t="s">
        <v>222</v>
      </c>
      <c r="E66" s="16" t="s">
        <v>232</v>
      </c>
      <c r="F66" s="16" t="s">
        <v>205</v>
      </c>
      <c r="G66" s="17">
        <v>40</v>
      </c>
      <c r="H66" s="17">
        <v>150</v>
      </c>
      <c r="I66" s="16" t="s">
        <v>206</v>
      </c>
      <c r="J66" s="16" t="s">
        <v>207</v>
      </c>
      <c r="K66" s="17">
        <v>160</v>
      </c>
      <c r="L66" s="20">
        <v>217.5</v>
      </c>
      <c r="M66" s="21">
        <v>239.25</v>
      </c>
      <c r="N66" s="18">
        <v>0.05</v>
      </c>
      <c r="O66" s="19"/>
      <c r="P66" s="16" t="s">
        <v>208</v>
      </c>
      <c r="Q66" s="33" t="s">
        <v>289</v>
      </c>
      <c r="R66" s="33" t="s">
        <v>289</v>
      </c>
      <c r="S66" s="34">
        <v>8</v>
      </c>
      <c r="T66" s="34">
        <v>8</v>
      </c>
      <c r="U66" s="33" t="s">
        <v>289</v>
      </c>
      <c r="V66" s="33" t="s">
        <v>289</v>
      </c>
      <c r="W66" s="34">
        <v>180</v>
      </c>
      <c r="X66" s="33" t="s">
        <v>289</v>
      </c>
      <c r="Y66" s="65" t="s">
        <v>289</v>
      </c>
    </row>
    <row r="67" spans="1:25" ht="10.7" customHeight="1" x14ac:dyDescent="0.2">
      <c r="A67" s="164"/>
      <c r="B67" s="23" t="s">
        <v>388</v>
      </c>
      <c r="C67" s="23" t="s">
        <v>390</v>
      </c>
      <c r="D67" s="23" t="s">
        <v>290</v>
      </c>
      <c r="E67" s="23" t="s">
        <v>397</v>
      </c>
      <c r="F67" s="204" t="s">
        <v>289</v>
      </c>
      <c r="G67" s="205">
        <v>10</v>
      </c>
      <c r="H67" s="205">
        <v>150</v>
      </c>
      <c r="I67" s="206" t="s">
        <v>401</v>
      </c>
      <c r="J67" s="23" t="s">
        <v>207</v>
      </c>
      <c r="K67" s="24">
        <v>160</v>
      </c>
      <c r="L67" s="103">
        <v>217.5</v>
      </c>
      <c r="M67" s="104">
        <v>239.25</v>
      </c>
      <c r="N67" s="226" t="s">
        <v>289</v>
      </c>
      <c r="O67" s="26"/>
      <c r="P67" s="23" t="s">
        <v>86</v>
      </c>
      <c r="Q67" s="67" t="s">
        <v>289</v>
      </c>
      <c r="R67" s="67" t="s">
        <v>289</v>
      </c>
      <c r="S67" s="27">
        <v>5</v>
      </c>
      <c r="T67" s="27">
        <v>2</v>
      </c>
      <c r="U67" s="67" t="s">
        <v>289</v>
      </c>
      <c r="V67" s="67">
        <v>2</v>
      </c>
      <c r="W67" s="67">
        <v>10</v>
      </c>
      <c r="X67" s="67" t="s">
        <v>289</v>
      </c>
      <c r="Y67" s="65" t="s">
        <v>289</v>
      </c>
    </row>
    <row r="68" spans="1:25" ht="10.7" customHeight="1" x14ac:dyDescent="0.2">
      <c r="A68" s="164"/>
      <c r="B68" s="23" t="s">
        <v>389</v>
      </c>
      <c r="C68" s="23" t="s">
        <v>390</v>
      </c>
      <c r="D68" s="23" t="s">
        <v>290</v>
      </c>
      <c r="E68" s="23" t="s">
        <v>398</v>
      </c>
      <c r="F68" s="204" t="s">
        <v>289</v>
      </c>
      <c r="G68" s="205">
        <v>10</v>
      </c>
      <c r="H68" s="205">
        <v>150</v>
      </c>
      <c r="I68" s="206" t="s">
        <v>401</v>
      </c>
      <c r="J68" s="23" t="s">
        <v>207</v>
      </c>
      <c r="K68" s="24">
        <v>160</v>
      </c>
      <c r="L68" s="103">
        <v>217.5</v>
      </c>
      <c r="M68" s="104">
        <v>239.25</v>
      </c>
      <c r="N68" s="226" t="s">
        <v>289</v>
      </c>
      <c r="O68" s="26"/>
      <c r="P68" s="107" t="s">
        <v>86</v>
      </c>
      <c r="Q68" s="33" t="s">
        <v>289</v>
      </c>
      <c r="R68" s="33" t="s">
        <v>289</v>
      </c>
      <c r="S68" s="27">
        <v>5</v>
      </c>
      <c r="T68" s="27">
        <v>2</v>
      </c>
      <c r="U68" s="33" t="s">
        <v>289</v>
      </c>
      <c r="V68" s="33">
        <v>2</v>
      </c>
      <c r="W68" s="33">
        <v>10</v>
      </c>
      <c r="X68" s="33" t="s">
        <v>289</v>
      </c>
      <c r="Y68" s="65" t="s">
        <v>289</v>
      </c>
    </row>
    <row r="69" spans="1:25" ht="10.7" customHeight="1" x14ac:dyDescent="0.2">
      <c r="A69" s="164"/>
      <c r="B69" s="23" t="s">
        <v>393</v>
      </c>
      <c r="C69" s="23" t="s">
        <v>390</v>
      </c>
      <c r="D69" s="23" t="s">
        <v>290</v>
      </c>
      <c r="E69" s="23" t="s">
        <v>395</v>
      </c>
      <c r="F69" s="204" t="s">
        <v>289</v>
      </c>
      <c r="G69" s="205">
        <v>10</v>
      </c>
      <c r="H69" s="205">
        <v>150</v>
      </c>
      <c r="I69" s="206" t="s">
        <v>401</v>
      </c>
      <c r="J69" s="23" t="s">
        <v>207</v>
      </c>
      <c r="K69" s="24">
        <v>160</v>
      </c>
      <c r="L69" s="103">
        <v>217.5</v>
      </c>
      <c r="M69" s="104">
        <v>239.25</v>
      </c>
      <c r="N69" s="226" t="s">
        <v>289</v>
      </c>
      <c r="O69" s="26"/>
      <c r="P69" s="23" t="s">
        <v>86</v>
      </c>
      <c r="Q69" s="67" t="s">
        <v>289</v>
      </c>
      <c r="R69" s="67" t="s">
        <v>289</v>
      </c>
      <c r="S69" s="27">
        <v>4</v>
      </c>
      <c r="T69" s="27">
        <v>3</v>
      </c>
      <c r="U69" s="67" t="s">
        <v>289</v>
      </c>
      <c r="V69" s="67">
        <v>2</v>
      </c>
      <c r="W69" s="67">
        <v>25</v>
      </c>
      <c r="X69" s="67" t="s">
        <v>289</v>
      </c>
      <c r="Y69" s="65" t="s">
        <v>289</v>
      </c>
    </row>
    <row r="70" spans="1:25" ht="10.7" customHeight="1" x14ac:dyDescent="0.2">
      <c r="A70" s="164"/>
      <c r="B70" s="23" t="s">
        <v>394</v>
      </c>
      <c r="C70" s="23" t="s">
        <v>390</v>
      </c>
      <c r="D70" s="23" t="s">
        <v>290</v>
      </c>
      <c r="E70" s="23" t="s">
        <v>396</v>
      </c>
      <c r="F70" s="204" t="s">
        <v>289</v>
      </c>
      <c r="G70" s="205">
        <v>10</v>
      </c>
      <c r="H70" s="205">
        <v>150</v>
      </c>
      <c r="I70" s="206" t="s">
        <v>401</v>
      </c>
      <c r="J70" s="23" t="s">
        <v>207</v>
      </c>
      <c r="K70" s="24">
        <v>160</v>
      </c>
      <c r="L70" s="103">
        <v>217.5</v>
      </c>
      <c r="M70" s="104">
        <v>239.25</v>
      </c>
      <c r="N70" s="226" t="s">
        <v>289</v>
      </c>
      <c r="O70" s="26"/>
      <c r="P70" s="107" t="s">
        <v>86</v>
      </c>
      <c r="Q70" s="33" t="s">
        <v>289</v>
      </c>
      <c r="R70" s="33" t="s">
        <v>289</v>
      </c>
      <c r="S70" s="27">
        <v>4</v>
      </c>
      <c r="T70" s="27">
        <v>3</v>
      </c>
      <c r="U70" s="33" t="s">
        <v>289</v>
      </c>
      <c r="V70" s="33">
        <v>2</v>
      </c>
      <c r="W70" s="33">
        <v>25</v>
      </c>
      <c r="X70" s="33" t="s">
        <v>289</v>
      </c>
      <c r="Y70" s="65" t="s">
        <v>289</v>
      </c>
    </row>
    <row r="71" spans="1:25" ht="10.7" customHeight="1" x14ac:dyDescent="0.2">
      <c r="A71" s="164"/>
      <c r="B71" s="23" t="s">
        <v>388</v>
      </c>
      <c r="C71" s="23" t="s">
        <v>390</v>
      </c>
      <c r="D71" s="23" t="s">
        <v>290</v>
      </c>
      <c r="E71" s="23" t="s">
        <v>399</v>
      </c>
      <c r="F71" s="204" t="s">
        <v>289</v>
      </c>
      <c r="G71" s="205">
        <v>10</v>
      </c>
      <c r="H71" s="205">
        <v>150</v>
      </c>
      <c r="I71" s="206" t="s">
        <v>401</v>
      </c>
      <c r="J71" s="23" t="s">
        <v>207</v>
      </c>
      <c r="K71" s="24">
        <v>160</v>
      </c>
      <c r="L71" s="103">
        <v>217.5</v>
      </c>
      <c r="M71" s="104">
        <v>239.25</v>
      </c>
      <c r="N71" s="226" t="s">
        <v>289</v>
      </c>
      <c r="O71" s="26"/>
      <c r="P71" s="23" t="s">
        <v>86</v>
      </c>
      <c r="Q71" s="67" t="s">
        <v>289</v>
      </c>
      <c r="R71" s="67" t="s">
        <v>289</v>
      </c>
      <c r="S71" s="27">
        <v>5</v>
      </c>
      <c r="T71" s="27">
        <v>2</v>
      </c>
      <c r="U71" s="67" t="s">
        <v>289</v>
      </c>
      <c r="V71" s="67">
        <v>2</v>
      </c>
      <c r="W71" s="67">
        <v>10</v>
      </c>
      <c r="X71" s="67" t="s">
        <v>289</v>
      </c>
      <c r="Y71" s="65" t="s">
        <v>289</v>
      </c>
    </row>
    <row r="72" spans="1:25" ht="10.7" customHeight="1" x14ac:dyDescent="0.2">
      <c r="A72" s="164"/>
      <c r="B72" s="23" t="s">
        <v>389</v>
      </c>
      <c r="C72" s="23" t="s">
        <v>390</v>
      </c>
      <c r="D72" s="23" t="s">
        <v>290</v>
      </c>
      <c r="E72" s="23" t="s">
        <v>400</v>
      </c>
      <c r="F72" s="204" t="s">
        <v>289</v>
      </c>
      <c r="G72" s="205">
        <v>10</v>
      </c>
      <c r="H72" s="205">
        <v>150</v>
      </c>
      <c r="I72" s="206" t="s">
        <v>401</v>
      </c>
      <c r="J72" s="23" t="s">
        <v>207</v>
      </c>
      <c r="K72" s="24">
        <v>160</v>
      </c>
      <c r="L72" s="103">
        <v>217.5</v>
      </c>
      <c r="M72" s="104">
        <v>239.25</v>
      </c>
      <c r="N72" s="226" t="s">
        <v>289</v>
      </c>
      <c r="O72" s="26"/>
      <c r="P72" s="107" t="s">
        <v>86</v>
      </c>
      <c r="Q72" s="33" t="s">
        <v>289</v>
      </c>
      <c r="R72" s="33" t="s">
        <v>289</v>
      </c>
      <c r="S72" s="27">
        <v>5</v>
      </c>
      <c r="T72" s="27">
        <v>2</v>
      </c>
      <c r="U72" s="33" t="s">
        <v>289</v>
      </c>
      <c r="V72" s="33">
        <v>2</v>
      </c>
      <c r="W72" s="33">
        <v>10</v>
      </c>
      <c r="X72" s="33" t="s">
        <v>289</v>
      </c>
      <c r="Y72" s="65" t="s">
        <v>289</v>
      </c>
    </row>
    <row r="73" spans="1:25" ht="10.7" customHeight="1" x14ac:dyDescent="0.2">
      <c r="A73" s="164"/>
      <c r="B73" s="23" t="s">
        <v>393</v>
      </c>
      <c r="C73" s="23" t="s">
        <v>390</v>
      </c>
      <c r="D73" s="23" t="s">
        <v>290</v>
      </c>
      <c r="E73" s="23" t="s">
        <v>395</v>
      </c>
      <c r="F73" s="204" t="s">
        <v>289</v>
      </c>
      <c r="G73" s="205">
        <v>10</v>
      </c>
      <c r="H73" s="205">
        <v>150</v>
      </c>
      <c r="I73" s="206" t="s">
        <v>401</v>
      </c>
      <c r="J73" s="23" t="s">
        <v>207</v>
      </c>
      <c r="K73" s="24">
        <v>160</v>
      </c>
      <c r="L73" s="103">
        <v>217.5</v>
      </c>
      <c r="M73" s="104">
        <v>239.25</v>
      </c>
      <c r="N73" s="226" t="s">
        <v>289</v>
      </c>
      <c r="O73" s="26"/>
      <c r="P73" s="23" t="s">
        <v>86</v>
      </c>
      <c r="Q73" s="67" t="s">
        <v>289</v>
      </c>
      <c r="R73" s="67" t="s">
        <v>289</v>
      </c>
      <c r="S73" s="27">
        <v>4</v>
      </c>
      <c r="T73" s="27">
        <v>3</v>
      </c>
      <c r="U73" s="67" t="s">
        <v>289</v>
      </c>
      <c r="V73" s="67">
        <v>2</v>
      </c>
      <c r="W73" s="67">
        <v>25</v>
      </c>
      <c r="X73" s="67" t="s">
        <v>289</v>
      </c>
      <c r="Y73" s="65" t="s">
        <v>289</v>
      </c>
    </row>
    <row r="74" spans="1:25" ht="10.7" customHeight="1" x14ac:dyDescent="0.2">
      <c r="A74" s="164"/>
      <c r="B74" s="23" t="s">
        <v>394</v>
      </c>
      <c r="C74" s="23" t="s">
        <v>390</v>
      </c>
      <c r="D74" s="23" t="s">
        <v>290</v>
      </c>
      <c r="E74" s="23" t="s">
        <v>396</v>
      </c>
      <c r="F74" s="204" t="s">
        <v>289</v>
      </c>
      <c r="G74" s="205">
        <v>10</v>
      </c>
      <c r="H74" s="205">
        <v>150</v>
      </c>
      <c r="I74" s="206" t="s">
        <v>401</v>
      </c>
      <c r="J74" s="23" t="s">
        <v>207</v>
      </c>
      <c r="K74" s="24">
        <v>160</v>
      </c>
      <c r="L74" s="103">
        <v>217.5</v>
      </c>
      <c r="M74" s="104">
        <v>239.25</v>
      </c>
      <c r="N74" s="226" t="s">
        <v>289</v>
      </c>
      <c r="O74" s="26"/>
      <c r="P74" s="107" t="s">
        <v>86</v>
      </c>
      <c r="Q74" s="33" t="s">
        <v>289</v>
      </c>
      <c r="R74" s="33" t="s">
        <v>289</v>
      </c>
      <c r="S74" s="27">
        <v>4</v>
      </c>
      <c r="T74" s="27">
        <v>3</v>
      </c>
      <c r="U74" s="33" t="s">
        <v>289</v>
      </c>
      <c r="V74" s="33">
        <v>2</v>
      </c>
      <c r="W74" s="33">
        <v>25</v>
      </c>
      <c r="X74" s="33" t="s">
        <v>289</v>
      </c>
      <c r="Y74" s="65" t="s">
        <v>289</v>
      </c>
    </row>
    <row r="75" spans="1:25" ht="21.4" customHeight="1" x14ac:dyDescent="0.2">
      <c r="A75" s="164"/>
      <c r="B75" s="37" t="s">
        <v>291</v>
      </c>
      <c r="C75" s="23" t="s">
        <v>292</v>
      </c>
      <c r="D75" s="23" t="s">
        <v>311</v>
      </c>
      <c r="E75" s="23" t="s">
        <v>324</v>
      </c>
      <c r="F75" s="171" t="s">
        <v>406</v>
      </c>
      <c r="G75" s="171"/>
      <c r="H75" s="171"/>
      <c r="I75" s="171"/>
      <c r="J75" s="23"/>
      <c r="K75" s="24"/>
      <c r="L75" s="24"/>
      <c r="M75" s="24"/>
      <c r="N75" s="227" t="s">
        <v>289</v>
      </c>
      <c r="O75" s="26"/>
      <c r="P75" s="16" t="s">
        <v>208</v>
      </c>
      <c r="Q75" s="27">
        <v>2</v>
      </c>
      <c r="R75" s="33" t="s">
        <v>289</v>
      </c>
      <c r="S75" s="33" t="s">
        <v>289</v>
      </c>
      <c r="T75" s="27">
        <v>3</v>
      </c>
      <c r="U75" s="33" t="s">
        <v>289</v>
      </c>
      <c r="V75" s="33" t="s">
        <v>289</v>
      </c>
      <c r="W75" s="27">
        <v>25</v>
      </c>
      <c r="X75" s="27">
        <v>1</v>
      </c>
      <c r="Y75" s="45" t="s">
        <v>316</v>
      </c>
    </row>
    <row r="76" spans="1:25" ht="21.4" customHeight="1" x14ac:dyDescent="0.2">
      <c r="A76" s="164"/>
      <c r="B76" s="37" t="s">
        <v>291</v>
      </c>
      <c r="C76" s="23" t="s">
        <v>292</v>
      </c>
      <c r="D76" s="23" t="s">
        <v>311</v>
      </c>
      <c r="E76" s="23" t="s">
        <v>325</v>
      </c>
      <c r="F76" s="171" t="s">
        <v>406</v>
      </c>
      <c r="G76" s="171"/>
      <c r="H76" s="171"/>
      <c r="I76" s="171"/>
      <c r="K76" s="24"/>
      <c r="L76" s="24"/>
      <c r="M76" s="24"/>
      <c r="N76" s="227" t="s">
        <v>289</v>
      </c>
      <c r="O76" s="26"/>
      <c r="P76" s="16" t="s">
        <v>208</v>
      </c>
      <c r="Q76" s="27">
        <v>2</v>
      </c>
      <c r="R76" s="33" t="s">
        <v>289</v>
      </c>
      <c r="S76" s="33" t="s">
        <v>289</v>
      </c>
      <c r="T76" s="27">
        <v>3</v>
      </c>
      <c r="U76" s="33" t="s">
        <v>289</v>
      </c>
      <c r="V76" s="33" t="s">
        <v>289</v>
      </c>
      <c r="W76" s="27">
        <v>25</v>
      </c>
      <c r="X76" s="27">
        <v>1</v>
      </c>
      <c r="Y76" s="45" t="s">
        <v>316</v>
      </c>
    </row>
    <row r="77" spans="1:25" ht="10.7" customHeight="1" x14ac:dyDescent="0.2">
      <c r="A77" s="164"/>
      <c r="B77" s="37" t="s">
        <v>291</v>
      </c>
      <c r="C77" s="23" t="s">
        <v>292</v>
      </c>
      <c r="D77" s="23" t="s">
        <v>290</v>
      </c>
      <c r="E77" s="23" t="s">
        <v>322</v>
      </c>
      <c r="F77" s="171" t="s">
        <v>406</v>
      </c>
      <c r="G77" s="171"/>
      <c r="H77" s="171"/>
      <c r="I77" s="171"/>
      <c r="J77" s="23"/>
      <c r="K77" s="24"/>
      <c r="L77" s="24"/>
      <c r="M77" s="24"/>
      <c r="N77" s="227" t="s">
        <v>289</v>
      </c>
      <c r="O77" s="26"/>
      <c r="P77" s="16" t="s">
        <v>208</v>
      </c>
      <c r="Q77" s="27">
        <v>4</v>
      </c>
      <c r="R77" s="33" t="s">
        <v>289</v>
      </c>
      <c r="S77" s="33" t="s">
        <v>289</v>
      </c>
      <c r="T77" s="27">
        <v>8</v>
      </c>
      <c r="U77" s="33">
        <v>2</v>
      </c>
      <c r="V77" s="33" t="s">
        <v>289</v>
      </c>
      <c r="W77" s="27">
        <v>140</v>
      </c>
      <c r="X77" s="33" t="s">
        <v>289</v>
      </c>
      <c r="Y77" s="65" t="s">
        <v>289</v>
      </c>
    </row>
    <row r="78" spans="1:25" ht="22.1" customHeight="1" thickBot="1" x14ac:dyDescent="0.25">
      <c r="A78" s="165"/>
      <c r="B78" s="47" t="s">
        <v>291</v>
      </c>
      <c r="C78" s="48" t="s">
        <v>292</v>
      </c>
      <c r="D78" s="48" t="s">
        <v>290</v>
      </c>
      <c r="E78" s="48" t="s">
        <v>323</v>
      </c>
      <c r="F78" s="171" t="s">
        <v>406</v>
      </c>
      <c r="G78" s="171"/>
      <c r="H78" s="171"/>
      <c r="I78" s="171"/>
      <c r="J78" s="48"/>
      <c r="K78" s="49"/>
      <c r="L78" s="49"/>
      <c r="M78" s="49"/>
      <c r="N78" s="227" t="s">
        <v>289</v>
      </c>
      <c r="O78" s="50"/>
      <c r="P78" s="51" t="s">
        <v>289</v>
      </c>
      <c r="Q78" s="105">
        <v>9</v>
      </c>
      <c r="R78" s="70" t="s">
        <v>289</v>
      </c>
      <c r="S78" s="70">
        <v>4</v>
      </c>
      <c r="T78" s="105">
        <v>8</v>
      </c>
      <c r="U78" s="70">
        <v>6</v>
      </c>
      <c r="V78" s="70" t="s">
        <v>289</v>
      </c>
      <c r="W78" s="105">
        <v>160</v>
      </c>
      <c r="X78" s="105">
        <v>15</v>
      </c>
      <c r="Y78" s="106" t="s">
        <v>316</v>
      </c>
    </row>
    <row r="79" spans="1:25" s="30" customFormat="1" ht="10.7" customHeight="1" x14ac:dyDescent="0.25">
      <c r="A79" s="148" t="s">
        <v>361</v>
      </c>
      <c r="B79" s="159" t="s">
        <v>252</v>
      </c>
      <c r="C79" s="154" t="s">
        <v>253</v>
      </c>
      <c r="D79" s="154" t="s">
        <v>210</v>
      </c>
      <c r="E79" s="154" t="s">
        <v>223</v>
      </c>
      <c r="F79" s="154" t="s">
        <v>205</v>
      </c>
      <c r="G79" s="162">
        <v>40</v>
      </c>
      <c r="H79" s="162">
        <v>150</v>
      </c>
      <c r="I79" s="154" t="s">
        <v>206</v>
      </c>
      <c r="J79" s="62" t="s">
        <v>207</v>
      </c>
      <c r="K79" s="63">
        <v>20</v>
      </c>
      <c r="L79" s="63">
        <v>25</v>
      </c>
      <c r="M79" s="63">
        <v>27.5</v>
      </c>
      <c r="N79" s="155">
        <v>0.05</v>
      </c>
      <c r="O79" s="156"/>
      <c r="P79" s="157" t="s">
        <v>208</v>
      </c>
      <c r="Q79" s="160" t="s">
        <v>289</v>
      </c>
      <c r="R79" s="160" t="s">
        <v>289</v>
      </c>
      <c r="S79" s="159">
        <v>6</v>
      </c>
      <c r="T79" s="154">
        <v>2</v>
      </c>
      <c r="U79" s="154">
        <v>2</v>
      </c>
      <c r="V79" s="160" t="s">
        <v>289</v>
      </c>
      <c r="W79" s="154">
        <v>10</v>
      </c>
      <c r="X79" s="62">
        <v>1</v>
      </c>
      <c r="Y79" s="64" t="s">
        <v>326</v>
      </c>
    </row>
    <row r="80" spans="1:25" s="30" customFormat="1" ht="10.7" customHeight="1" x14ac:dyDescent="0.25">
      <c r="A80" s="149"/>
      <c r="B80" s="123"/>
      <c r="C80" s="114"/>
      <c r="D80" s="114"/>
      <c r="E80" s="114"/>
      <c r="F80" s="114"/>
      <c r="G80" s="152"/>
      <c r="H80" s="152"/>
      <c r="I80" s="114"/>
      <c r="J80" s="34"/>
      <c r="K80" s="35"/>
      <c r="L80" s="35"/>
      <c r="M80" s="35"/>
      <c r="N80" s="116"/>
      <c r="O80" s="118"/>
      <c r="P80" s="120"/>
      <c r="Q80" s="121"/>
      <c r="R80" s="121"/>
      <c r="S80" s="123"/>
      <c r="T80" s="114"/>
      <c r="U80" s="114"/>
      <c r="V80" s="121"/>
      <c r="W80" s="114"/>
      <c r="X80" s="34">
        <v>1</v>
      </c>
      <c r="Y80" s="60" t="s">
        <v>327</v>
      </c>
    </row>
    <row r="81" spans="1:25" ht="10.7" customHeight="1" x14ac:dyDescent="0.2">
      <c r="A81" s="149"/>
      <c r="B81" s="41" t="s">
        <v>254</v>
      </c>
      <c r="C81" s="16" t="s">
        <v>253</v>
      </c>
      <c r="D81" s="16" t="s">
        <v>210</v>
      </c>
      <c r="E81" s="16" t="s">
        <v>211</v>
      </c>
      <c r="F81" s="16" t="s">
        <v>205</v>
      </c>
      <c r="G81" s="17">
        <v>40</v>
      </c>
      <c r="H81" s="17">
        <v>150</v>
      </c>
      <c r="I81" s="16" t="s">
        <v>206</v>
      </c>
      <c r="J81" s="16" t="s">
        <v>207</v>
      </c>
      <c r="K81" s="17">
        <v>125</v>
      </c>
      <c r="L81" s="20">
        <v>217.5</v>
      </c>
      <c r="M81" s="21">
        <v>239.25</v>
      </c>
      <c r="N81" s="18">
        <v>0.05</v>
      </c>
      <c r="O81" s="19"/>
      <c r="P81" s="16" t="s">
        <v>208</v>
      </c>
      <c r="Q81" s="33" t="s">
        <v>289</v>
      </c>
      <c r="R81" s="33" t="s">
        <v>289</v>
      </c>
      <c r="S81" s="34">
        <v>8</v>
      </c>
      <c r="T81" s="34">
        <v>4</v>
      </c>
      <c r="U81" s="33" t="s">
        <v>289</v>
      </c>
      <c r="V81" s="33" t="s">
        <v>289</v>
      </c>
      <c r="W81" s="34">
        <v>80</v>
      </c>
      <c r="X81" s="33" t="s">
        <v>289</v>
      </c>
      <c r="Y81" s="65" t="s">
        <v>289</v>
      </c>
    </row>
    <row r="82" spans="1:25" s="30" customFormat="1" ht="10.7" customHeight="1" x14ac:dyDescent="0.25">
      <c r="A82" s="149"/>
      <c r="B82" s="125" t="s">
        <v>255</v>
      </c>
      <c r="C82" s="128" t="s">
        <v>253</v>
      </c>
      <c r="D82" s="131" t="s">
        <v>215</v>
      </c>
      <c r="E82" s="128" t="s">
        <v>229</v>
      </c>
      <c r="F82" s="128" t="s">
        <v>205</v>
      </c>
      <c r="G82" s="134">
        <v>40</v>
      </c>
      <c r="H82" s="134">
        <v>150</v>
      </c>
      <c r="I82" s="128" t="s">
        <v>206</v>
      </c>
      <c r="J82" s="27" t="s">
        <v>207</v>
      </c>
      <c r="K82" s="29">
        <v>25</v>
      </c>
      <c r="L82" s="29">
        <v>50</v>
      </c>
      <c r="M82" s="29">
        <v>55</v>
      </c>
      <c r="N82" s="137">
        <v>0.05</v>
      </c>
      <c r="O82" s="140"/>
      <c r="P82" s="128" t="s">
        <v>208</v>
      </c>
      <c r="Q82" s="143" t="s">
        <v>289</v>
      </c>
      <c r="R82" s="143">
        <v>6</v>
      </c>
      <c r="S82" s="143" t="s">
        <v>289</v>
      </c>
      <c r="T82" s="143">
        <v>3</v>
      </c>
      <c r="U82" s="143" t="s">
        <v>289</v>
      </c>
      <c r="V82" s="143">
        <v>2</v>
      </c>
      <c r="W82" s="128">
        <v>10</v>
      </c>
      <c r="X82" s="27">
        <v>1</v>
      </c>
      <c r="Y82" s="46" t="s">
        <v>328</v>
      </c>
    </row>
    <row r="83" spans="1:25" s="30" customFormat="1" ht="10.7" customHeight="1" x14ac:dyDescent="0.25">
      <c r="A83" s="149"/>
      <c r="B83" s="126"/>
      <c r="C83" s="129"/>
      <c r="D83" s="132"/>
      <c r="E83" s="129"/>
      <c r="F83" s="129"/>
      <c r="G83" s="135"/>
      <c r="H83" s="135"/>
      <c r="I83" s="129"/>
      <c r="J83" s="27"/>
      <c r="K83" s="29"/>
      <c r="L83" s="29"/>
      <c r="M83" s="29"/>
      <c r="N83" s="138"/>
      <c r="O83" s="141"/>
      <c r="P83" s="129"/>
      <c r="Q83" s="144"/>
      <c r="R83" s="144"/>
      <c r="S83" s="144"/>
      <c r="T83" s="144"/>
      <c r="U83" s="144"/>
      <c r="V83" s="144"/>
      <c r="W83" s="129"/>
      <c r="X83" s="27">
        <v>1</v>
      </c>
      <c r="Y83" s="46" t="s">
        <v>329</v>
      </c>
    </row>
    <row r="84" spans="1:25" s="30" customFormat="1" ht="10.7" customHeight="1" x14ac:dyDescent="0.25">
      <c r="A84" s="149"/>
      <c r="B84" s="126"/>
      <c r="C84" s="129"/>
      <c r="D84" s="132"/>
      <c r="E84" s="129"/>
      <c r="F84" s="129"/>
      <c r="G84" s="135"/>
      <c r="H84" s="135"/>
      <c r="I84" s="129"/>
      <c r="J84" s="27"/>
      <c r="K84" s="29"/>
      <c r="L84" s="29"/>
      <c r="M84" s="29"/>
      <c r="N84" s="138"/>
      <c r="O84" s="141"/>
      <c r="P84" s="129"/>
      <c r="Q84" s="144"/>
      <c r="R84" s="144"/>
      <c r="S84" s="144"/>
      <c r="T84" s="144"/>
      <c r="U84" s="144"/>
      <c r="V84" s="144"/>
      <c r="W84" s="129"/>
      <c r="X84" s="27">
        <v>1</v>
      </c>
      <c r="Y84" s="46" t="s">
        <v>320</v>
      </c>
    </row>
    <row r="85" spans="1:25" s="30" customFormat="1" ht="14.3" customHeight="1" x14ac:dyDescent="0.25">
      <c r="A85" s="149"/>
      <c r="B85" s="127"/>
      <c r="C85" s="130"/>
      <c r="D85" s="133"/>
      <c r="E85" s="130"/>
      <c r="F85" s="130"/>
      <c r="G85" s="136"/>
      <c r="H85" s="136"/>
      <c r="I85" s="130"/>
      <c r="J85" s="27"/>
      <c r="K85" s="29"/>
      <c r="L85" s="29"/>
      <c r="M85" s="29"/>
      <c r="N85" s="139"/>
      <c r="O85" s="142"/>
      <c r="P85" s="130"/>
      <c r="Q85" s="145"/>
      <c r="R85" s="145"/>
      <c r="S85" s="145"/>
      <c r="T85" s="145"/>
      <c r="U85" s="145"/>
      <c r="V85" s="145"/>
      <c r="W85" s="130"/>
      <c r="X85" s="27">
        <v>1</v>
      </c>
      <c r="Y85" s="45" t="s">
        <v>310</v>
      </c>
    </row>
    <row r="86" spans="1:25" ht="10.7" customHeight="1" x14ac:dyDescent="0.2">
      <c r="A86" s="149"/>
      <c r="B86" s="41" t="s">
        <v>256</v>
      </c>
      <c r="C86" s="16" t="s">
        <v>253</v>
      </c>
      <c r="D86" s="16" t="s">
        <v>215</v>
      </c>
      <c r="E86" s="16" t="s">
        <v>212</v>
      </c>
      <c r="F86" s="16" t="s">
        <v>205</v>
      </c>
      <c r="G86" s="17">
        <v>40</v>
      </c>
      <c r="H86" s="17">
        <v>150</v>
      </c>
      <c r="I86" s="16" t="s">
        <v>206</v>
      </c>
      <c r="J86" s="16" t="s">
        <v>207</v>
      </c>
      <c r="K86" s="17">
        <v>160</v>
      </c>
      <c r="L86" s="20">
        <v>217.5</v>
      </c>
      <c r="M86" s="21">
        <v>239.25</v>
      </c>
      <c r="N86" s="18">
        <v>0.05</v>
      </c>
      <c r="O86" s="19"/>
      <c r="P86" s="16" t="s">
        <v>208</v>
      </c>
      <c r="Q86" s="33" t="s">
        <v>289</v>
      </c>
      <c r="R86" s="34">
        <v>1</v>
      </c>
      <c r="S86" s="34">
        <v>1</v>
      </c>
      <c r="T86" s="34">
        <v>8</v>
      </c>
      <c r="U86" s="33" t="s">
        <v>289</v>
      </c>
      <c r="V86" s="112">
        <v>2</v>
      </c>
      <c r="W86" s="34">
        <v>200</v>
      </c>
      <c r="X86" s="33" t="s">
        <v>289</v>
      </c>
      <c r="Y86" s="65" t="s">
        <v>289</v>
      </c>
    </row>
    <row r="87" spans="1:25" s="30" customFormat="1" ht="10.7" customHeight="1" x14ac:dyDescent="0.25">
      <c r="A87" s="149"/>
      <c r="B87" s="122" t="s">
        <v>257</v>
      </c>
      <c r="C87" s="113" t="s">
        <v>253</v>
      </c>
      <c r="D87" s="113" t="s">
        <v>215</v>
      </c>
      <c r="E87" s="113" t="s">
        <v>232</v>
      </c>
      <c r="F87" s="113" t="s">
        <v>205</v>
      </c>
      <c r="G87" s="151">
        <v>40</v>
      </c>
      <c r="H87" s="151">
        <v>150</v>
      </c>
      <c r="I87" s="113" t="s">
        <v>206</v>
      </c>
      <c r="J87" s="34" t="s">
        <v>207</v>
      </c>
      <c r="K87" s="35">
        <v>160</v>
      </c>
      <c r="L87" s="35">
        <v>217.5</v>
      </c>
      <c r="M87" s="35">
        <v>239.25</v>
      </c>
      <c r="N87" s="115">
        <v>0.05</v>
      </c>
      <c r="O87" s="117"/>
      <c r="P87" s="119" t="s">
        <v>208</v>
      </c>
      <c r="Q87" s="143" t="s">
        <v>289</v>
      </c>
      <c r="R87" s="166" t="s">
        <v>289</v>
      </c>
      <c r="S87" s="122">
        <v>1</v>
      </c>
      <c r="T87" s="113">
        <v>6</v>
      </c>
      <c r="U87" s="113" t="s">
        <v>289</v>
      </c>
      <c r="V87" s="121">
        <v>2</v>
      </c>
      <c r="W87" s="113">
        <v>200</v>
      </c>
      <c r="X87" s="34">
        <v>2</v>
      </c>
      <c r="Y87" s="60" t="s">
        <v>320</v>
      </c>
    </row>
    <row r="88" spans="1:25" s="30" customFormat="1" ht="10.7" customHeight="1" x14ac:dyDescent="0.25">
      <c r="A88" s="149"/>
      <c r="B88" s="123"/>
      <c r="C88" s="114"/>
      <c r="D88" s="114"/>
      <c r="E88" s="114"/>
      <c r="F88" s="114"/>
      <c r="G88" s="152"/>
      <c r="H88" s="152"/>
      <c r="I88" s="114"/>
      <c r="J88" s="34"/>
      <c r="K88" s="35"/>
      <c r="L88" s="35"/>
      <c r="M88" s="35"/>
      <c r="N88" s="116"/>
      <c r="O88" s="118"/>
      <c r="P88" s="120"/>
      <c r="Q88" s="145"/>
      <c r="R88" s="145"/>
      <c r="S88" s="123">
        <v>1</v>
      </c>
      <c r="T88" s="114"/>
      <c r="U88" s="114"/>
      <c r="V88" s="121"/>
      <c r="W88" s="114"/>
      <c r="X88" s="34">
        <v>7</v>
      </c>
      <c r="Y88" s="60" t="s">
        <v>329</v>
      </c>
    </row>
    <row r="89" spans="1:25" ht="10.7" customHeight="1" thickBot="1" x14ac:dyDescent="0.25">
      <c r="A89" s="149"/>
      <c r="B89" s="207" t="s">
        <v>291</v>
      </c>
      <c r="C89" s="208" t="s">
        <v>292</v>
      </c>
      <c r="D89" s="208" t="s">
        <v>290</v>
      </c>
      <c r="E89" s="208" t="s">
        <v>330</v>
      </c>
      <c r="F89" s="209" t="s">
        <v>406</v>
      </c>
      <c r="G89" s="209"/>
      <c r="H89" s="209"/>
      <c r="I89" s="209"/>
      <c r="J89" s="208"/>
      <c r="K89" s="210"/>
      <c r="L89" s="210"/>
      <c r="M89" s="210"/>
      <c r="N89" s="227" t="s">
        <v>289</v>
      </c>
      <c r="O89" s="211"/>
      <c r="P89" s="212" t="s">
        <v>289</v>
      </c>
      <c r="Q89" s="90">
        <v>8</v>
      </c>
      <c r="R89" s="67" t="s">
        <v>289</v>
      </c>
      <c r="S89" s="67" t="s">
        <v>289</v>
      </c>
      <c r="T89" s="90">
        <v>4</v>
      </c>
      <c r="U89" s="67">
        <v>4</v>
      </c>
      <c r="V89" s="67" t="s">
        <v>289</v>
      </c>
      <c r="W89" s="90">
        <v>60</v>
      </c>
      <c r="X89" s="90">
        <v>5</v>
      </c>
      <c r="Y89" s="213" t="s">
        <v>316</v>
      </c>
    </row>
    <row r="90" spans="1:25" s="30" customFormat="1" ht="10.7" customHeight="1" x14ac:dyDescent="0.25">
      <c r="A90" s="163" t="s">
        <v>362</v>
      </c>
      <c r="B90" s="218" t="s">
        <v>258</v>
      </c>
      <c r="C90" s="218" t="s">
        <v>259</v>
      </c>
      <c r="D90" s="218" t="s">
        <v>215</v>
      </c>
      <c r="E90" s="218" t="s">
        <v>260</v>
      </c>
      <c r="F90" s="218" t="s">
        <v>205</v>
      </c>
      <c r="G90" s="219">
        <v>40</v>
      </c>
      <c r="H90" s="219">
        <v>150</v>
      </c>
      <c r="I90" s="218" t="s">
        <v>206</v>
      </c>
      <c r="J90" s="42" t="s">
        <v>207</v>
      </c>
      <c r="K90" s="43">
        <v>75</v>
      </c>
      <c r="L90" s="43">
        <v>150</v>
      </c>
      <c r="M90" s="43">
        <v>165</v>
      </c>
      <c r="N90" s="220">
        <v>0.05</v>
      </c>
      <c r="O90" s="221"/>
      <c r="P90" s="218" t="s">
        <v>208</v>
      </c>
      <c r="Q90" s="160" t="s">
        <v>289</v>
      </c>
      <c r="R90" s="160" t="s">
        <v>289</v>
      </c>
      <c r="S90" s="218">
        <v>4</v>
      </c>
      <c r="T90" s="218">
        <v>6</v>
      </c>
      <c r="U90" s="218">
        <v>3</v>
      </c>
      <c r="V90" s="160" t="s">
        <v>289</v>
      </c>
      <c r="W90" s="218">
        <v>230</v>
      </c>
      <c r="X90" s="42">
        <v>1</v>
      </c>
      <c r="Y90" s="44" t="s">
        <v>320</v>
      </c>
    </row>
    <row r="91" spans="1:25" s="30" customFormat="1" ht="10.7" customHeight="1" x14ac:dyDescent="0.25">
      <c r="A91" s="164"/>
      <c r="B91" s="124"/>
      <c r="C91" s="124"/>
      <c r="D91" s="124"/>
      <c r="E91" s="124"/>
      <c r="F91" s="124"/>
      <c r="G91" s="214"/>
      <c r="H91" s="214"/>
      <c r="I91" s="124"/>
      <c r="J91" s="27"/>
      <c r="K91" s="29"/>
      <c r="L91" s="29"/>
      <c r="M91" s="29"/>
      <c r="N91" s="215"/>
      <c r="O91" s="216"/>
      <c r="P91" s="124"/>
      <c r="Q91" s="121"/>
      <c r="R91" s="121"/>
      <c r="S91" s="124"/>
      <c r="T91" s="124"/>
      <c r="U91" s="124"/>
      <c r="V91" s="121"/>
      <c r="W91" s="124"/>
      <c r="X91" s="27">
        <v>1</v>
      </c>
      <c r="Y91" s="45" t="s">
        <v>329</v>
      </c>
    </row>
    <row r="92" spans="1:25" s="30" customFormat="1" ht="10.7" customHeight="1" x14ac:dyDescent="0.25">
      <c r="A92" s="164"/>
      <c r="B92" s="124" t="s">
        <v>261</v>
      </c>
      <c r="C92" s="124" t="s">
        <v>259</v>
      </c>
      <c r="D92" s="124" t="s">
        <v>215</v>
      </c>
      <c r="E92" s="124" t="s">
        <v>260</v>
      </c>
      <c r="F92" s="124" t="s">
        <v>205</v>
      </c>
      <c r="G92" s="214">
        <v>40</v>
      </c>
      <c r="H92" s="214">
        <v>150</v>
      </c>
      <c r="I92" s="124" t="s">
        <v>206</v>
      </c>
      <c r="J92" s="27" t="s">
        <v>207</v>
      </c>
      <c r="K92" s="29">
        <v>75</v>
      </c>
      <c r="L92" s="29">
        <v>150</v>
      </c>
      <c r="M92" s="29">
        <v>165</v>
      </c>
      <c r="N92" s="215">
        <v>0.05</v>
      </c>
      <c r="O92" s="216"/>
      <c r="P92" s="124" t="s">
        <v>208</v>
      </c>
      <c r="Q92" s="121" t="s">
        <v>289</v>
      </c>
      <c r="R92" s="121" t="s">
        <v>289</v>
      </c>
      <c r="S92" s="124">
        <v>4</v>
      </c>
      <c r="T92" s="124">
        <v>8</v>
      </c>
      <c r="U92" s="124">
        <v>4</v>
      </c>
      <c r="V92" s="121" t="s">
        <v>289</v>
      </c>
      <c r="W92" s="124">
        <v>120</v>
      </c>
      <c r="X92" s="27">
        <v>2</v>
      </c>
      <c r="Y92" s="45" t="s">
        <v>331</v>
      </c>
    </row>
    <row r="93" spans="1:25" s="30" customFormat="1" ht="10.7" customHeight="1" x14ac:dyDescent="0.25">
      <c r="A93" s="164"/>
      <c r="B93" s="124"/>
      <c r="C93" s="124"/>
      <c r="D93" s="124"/>
      <c r="E93" s="124"/>
      <c r="F93" s="124"/>
      <c r="G93" s="214"/>
      <c r="H93" s="214"/>
      <c r="I93" s="124"/>
      <c r="J93" s="27"/>
      <c r="K93" s="29"/>
      <c r="L93" s="29"/>
      <c r="M93" s="29"/>
      <c r="N93" s="215"/>
      <c r="O93" s="216"/>
      <c r="P93" s="124"/>
      <c r="Q93" s="121"/>
      <c r="R93" s="121"/>
      <c r="S93" s="124"/>
      <c r="T93" s="124"/>
      <c r="U93" s="124"/>
      <c r="V93" s="121"/>
      <c r="W93" s="124"/>
      <c r="X93" s="27">
        <v>2</v>
      </c>
      <c r="Y93" s="45" t="s">
        <v>332</v>
      </c>
    </row>
    <row r="94" spans="1:25" s="30" customFormat="1" ht="10.7" customHeight="1" x14ac:dyDescent="0.25">
      <c r="A94" s="164"/>
      <c r="B94" s="124" t="s">
        <v>262</v>
      </c>
      <c r="C94" s="124" t="s">
        <v>263</v>
      </c>
      <c r="D94" s="124" t="s">
        <v>210</v>
      </c>
      <c r="E94" s="124" t="s">
        <v>223</v>
      </c>
      <c r="F94" s="124" t="s">
        <v>205</v>
      </c>
      <c r="G94" s="214">
        <v>40</v>
      </c>
      <c r="H94" s="214">
        <v>150</v>
      </c>
      <c r="I94" s="124" t="s">
        <v>206</v>
      </c>
      <c r="J94" s="27" t="s">
        <v>207</v>
      </c>
      <c r="K94" s="29">
        <v>75</v>
      </c>
      <c r="L94" s="29">
        <v>150</v>
      </c>
      <c r="M94" s="29">
        <v>165</v>
      </c>
      <c r="N94" s="215">
        <v>0.05</v>
      </c>
      <c r="O94" s="216"/>
      <c r="P94" s="124" t="s">
        <v>208</v>
      </c>
      <c r="Q94" s="121" t="s">
        <v>289</v>
      </c>
      <c r="R94" s="121" t="s">
        <v>289</v>
      </c>
      <c r="S94" s="124" t="s">
        <v>289</v>
      </c>
      <c r="T94" s="124">
        <v>4</v>
      </c>
      <c r="U94" s="121" t="s">
        <v>289</v>
      </c>
      <c r="V94" s="121" t="s">
        <v>289</v>
      </c>
      <c r="W94" s="124">
        <v>20</v>
      </c>
      <c r="X94" s="27">
        <v>2</v>
      </c>
      <c r="Y94" s="45" t="s">
        <v>308</v>
      </c>
    </row>
    <row r="95" spans="1:25" s="30" customFormat="1" ht="10.7" customHeight="1" x14ac:dyDescent="0.25">
      <c r="A95" s="164"/>
      <c r="B95" s="124"/>
      <c r="C95" s="124"/>
      <c r="D95" s="124"/>
      <c r="E95" s="124"/>
      <c r="F95" s="124"/>
      <c r="G95" s="214"/>
      <c r="H95" s="214"/>
      <c r="I95" s="124"/>
      <c r="J95" s="27"/>
      <c r="K95" s="29"/>
      <c r="L95" s="29"/>
      <c r="M95" s="29"/>
      <c r="N95" s="215"/>
      <c r="O95" s="216"/>
      <c r="P95" s="124"/>
      <c r="Q95" s="121"/>
      <c r="R95" s="121"/>
      <c r="S95" s="124"/>
      <c r="T95" s="124"/>
      <c r="U95" s="121"/>
      <c r="V95" s="121"/>
      <c r="W95" s="124"/>
      <c r="X95" s="27">
        <v>2</v>
      </c>
      <c r="Y95" s="45" t="s">
        <v>333</v>
      </c>
    </row>
    <row r="96" spans="1:25" ht="10.7" customHeight="1" x14ac:dyDescent="0.2">
      <c r="A96" s="164"/>
      <c r="B96" s="23" t="s">
        <v>264</v>
      </c>
      <c r="C96" s="23" t="s">
        <v>263</v>
      </c>
      <c r="D96" s="23" t="s">
        <v>222</v>
      </c>
      <c r="E96" s="23" t="s">
        <v>265</v>
      </c>
      <c r="F96" s="23" t="s">
        <v>205</v>
      </c>
      <c r="G96" s="24">
        <v>40</v>
      </c>
      <c r="H96" s="24">
        <v>150</v>
      </c>
      <c r="I96" s="23" t="s">
        <v>206</v>
      </c>
      <c r="J96" s="23" t="s">
        <v>207</v>
      </c>
      <c r="K96" s="24">
        <v>75</v>
      </c>
      <c r="L96" s="24">
        <v>150</v>
      </c>
      <c r="M96" s="24">
        <v>165</v>
      </c>
      <c r="N96" s="25">
        <v>0.05</v>
      </c>
      <c r="O96" s="26"/>
      <c r="P96" s="23" t="s">
        <v>208</v>
      </c>
      <c r="Q96" s="33" t="s">
        <v>289</v>
      </c>
      <c r="R96" s="33" t="s">
        <v>289</v>
      </c>
      <c r="S96" s="27">
        <v>2</v>
      </c>
      <c r="T96" s="27">
        <v>8</v>
      </c>
      <c r="U96" s="27">
        <v>1</v>
      </c>
      <c r="V96" s="33" t="s">
        <v>289</v>
      </c>
      <c r="W96" s="27">
        <v>80</v>
      </c>
      <c r="X96" s="33" t="s">
        <v>289</v>
      </c>
      <c r="Y96" s="46" t="s">
        <v>289</v>
      </c>
    </row>
    <row r="97" spans="1:25" ht="10.7" customHeight="1" x14ac:dyDescent="0.2">
      <c r="A97" s="164"/>
      <c r="B97" s="23" t="s">
        <v>266</v>
      </c>
      <c r="C97" s="23" t="s">
        <v>263</v>
      </c>
      <c r="D97" s="23" t="s">
        <v>222</v>
      </c>
      <c r="E97" s="23" t="s">
        <v>267</v>
      </c>
      <c r="F97" s="23" t="s">
        <v>205</v>
      </c>
      <c r="G97" s="24">
        <v>40</v>
      </c>
      <c r="H97" s="24">
        <v>150</v>
      </c>
      <c r="I97" s="23" t="s">
        <v>206</v>
      </c>
      <c r="J97" s="23" t="s">
        <v>207</v>
      </c>
      <c r="K97" s="24">
        <v>75</v>
      </c>
      <c r="L97" s="24">
        <v>150</v>
      </c>
      <c r="M97" s="24">
        <v>165</v>
      </c>
      <c r="N97" s="25">
        <v>0.05</v>
      </c>
      <c r="O97" s="26"/>
      <c r="P97" s="23" t="s">
        <v>208</v>
      </c>
      <c r="Q97" s="33" t="s">
        <v>289</v>
      </c>
      <c r="R97" s="33" t="s">
        <v>289</v>
      </c>
      <c r="S97" s="27">
        <v>15</v>
      </c>
      <c r="T97" s="27">
        <v>8</v>
      </c>
      <c r="U97" s="27">
        <v>3</v>
      </c>
      <c r="V97" s="33" t="s">
        <v>289</v>
      </c>
      <c r="W97" s="27">
        <v>200</v>
      </c>
      <c r="X97" s="27">
        <v>1</v>
      </c>
      <c r="Y97" s="45" t="s">
        <v>308</v>
      </c>
    </row>
    <row r="98" spans="1:25" ht="10.7" customHeight="1" x14ac:dyDescent="0.2">
      <c r="A98" s="164"/>
      <c r="B98" s="23" t="s">
        <v>268</v>
      </c>
      <c r="C98" s="23" t="s">
        <v>269</v>
      </c>
      <c r="D98" s="23" t="s">
        <v>222</v>
      </c>
      <c r="E98" s="23" t="s">
        <v>229</v>
      </c>
      <c r="F98" s="23" t="s">
        <v>205</v>
      </c>
      <c r="G98" s="24">
        <v>40</v>
      </c>
      <c r="H98" s="24">
        <v>150</v>
      </c>
      <c r="I98" s="23" t="s">
        <v>206</v>
      </c>
      <c r="J98" s="23" t="s">
        <v>207</v>
      </c>
      <c r="K98" s="24">
        <v>75</v>
      </c>
      <c r="L98" s="24">
        <v>150</v>
      </c>
      <c r="M98" s="24">
        <v>165</v>
      </c>
      <c r="N98" s="25">
        <v>0.05</v>
      </c>
      <c r="O98" s="26"/>
      <c r="P98" s="23" t="s">
        <v>208</v>
      </c>
      <c r="Q98" s="33" t="s">
        <v>289</v>
      </c>
      <c r="R98" s="33" t="s">
        <v>289</v>
      </c>
      <c r="S98" s="27">
        <v>6</v>
      </c>
      <c r="T98" s="27">
        <v>4</v>
      </c>
      <c r="U98" s="33" t="s">
        <v>289</v>
      </c>
      <c r="V98" s="33" t="s">
        <v>289</v>
      </c>
      <c r="W98" s="27">
        <v>30</v>
      </c>
      <c r="X98" s="33" t="s">
        <v>289</v>
      </c>
      <c r="Y98" s="46" t="s">
        <v>289</v>
      </c>
    </row>
    <row r="99" spans="1:25" ht="10.7" customHeight="1" x14ac:dyDescent="0.2">
      <c r="A99" s="164"/>
      <c r="B99" s="23" t="s">
        <v>270</v>
      </c>
      <c r="C99" s="23" t="s">
        <v>269</v>
      </c>
      <c r="D99" s="23" t="s">
        <v>215</v>
      </c>
      <c r="E99" s="23" t="s">
        <v>271</v>
      </c>
      <c r="F99" s="23" t="s">
        <v>205</v>
      </c>
      <c r="G99" s="24">
        <v>40</v>
      </c>
      <c r="H99" s="24">
        <v>150</v>
      </c>
      <c r="I99" s="23" t="s">
        <v>206</v>
      </c>
      <c r="J99" s="23" t="s">
        <v>207</v>
      </c>
      <c r="K99" s="24">
        <v>75</v>
      </c>
      <c r="L99" s="24">
        <v>150</v>
      </c>
      <c r="M99" s="24">
        <v>165</v>
      </c>
      <c r="N99" s="25">
        <v>0.05</v>
      </c>
      <c r="O99" s="26"/>
      <c r="P99" s="23" t="s">
        <v>208</v>
      </c>
      <c r="Q99" s="33" t="s">
        <v>289</v>
      </c>
      <c r="R99" s="27">
        <v>6</v>
      </c>
      <c r="S99" s="33" t="s">
        <v>289</v>
      </c>
      <c r="T99" s="27">
        <v>4</v>
      </c>
      <c r="U99" s="33" t="s">
        <v>289</v>
      </c>
      <c r="V99" s="27">
        <v>4</v>
      </c>
      <c r="W99" s="27">
        <v>30</v>
      </c>
      <c r="X99" s="33" t="s">
        <v>289</v>
      </c>
      <c r="Y99" s="46" t="s">
        <v>289</v>
      </c>
    </row>
    <row r="100" spans="1:25" s="30" customFormat="1" ht="10.7" customHeight="1" x14ac:dyDescent="0.25">
      <c r="A100" s="164"/>
      <c r="B100" s="124" t="s">
        <v>272</v>
      </c>
      <c r="C100" s="124" t="s">
        <v>269</v>
      </c>
      <c r="D100" s="124" t="s">
        <v>215</v>
      </c>
      <c r="E100" s="124" t="s">
        <v>273</v>
      </c>
      <c r="F100" s="124" t="s">
        <v>205</v>
      </c>
      <c r="G100" s="214">
        <v>40</v>
      </c>
      <c r="H100" s="214">
        <v>150</v>
      </c>
      <c r="I100" s="124" t="s">
        <v>206</v>
      </c>
      <c r="J100" s="27" t="s">
        <v>207</v>
      </c>
      <c r="K100" s="29">
        <v>75</v>
      </c>
      <c r="L100" s="29">
        <v>150</v>
      </c>
      <c r="M100" s="29">
        <v>165</v>
      </c>
      <c r="N100" s="215">
        <v>0.05</v>
      </c>
      <c r="O100" s="216"/>
      <c r="P100" s="124" t="s">
        <v>208</v>
      </c>
      <c r="Q100" s="121">
        <v>2</v>
      </c>
      <c r="R100" s="121">
        <v>5</v>
      </c>
      <c r="S100" s="124">
        <v>1</v>
      </c>
      <c r="T100" s="124">
        <v>14</v>
      </c>
      <c r="U100" s="121" t="s">
        <v>289</v>
      </c>
      <c r="V100" s="121">
        <v>4</v>
      </c>
      <c r="W100" s="124">
        <v>500</v>
      </c>
      <c r="X100" s="27">
        <v>1</v>
      </c>
      <c r="Y100" s="45" t="s">
        <v>335</v>
      </c>
    </row>
    <row r="101" spans="1:25" s="30" customFormat="1" ht="10.7" customHeight="1" x14ac:dyDescent="0.25">
      <c r="A101" s="164"/>
      <c r="B101" s="124"/>
      <c r="C101" s="124"/>
      <c r="D101" s="124"/>
      <c r="E101" s="124"/>
      <c r="F101" s="124"/>
      <c r="G101" s="214"/>
      <c r="H101" s="214"/>
      <c r="I101" s="124"/>
      <c r="J101" s="27"/>
      <c r="K101" s="29"/>
      <c r="L101" s="29"/>
      <c r="M101" s="29"/>
      <c r="N101" s="215"/>
      <c r="O101" s="216"/>
      <c r="P101" s="124"/>
      <c r="Q101" s="121"/>
      <c r="R101" s="121"/>
      <c r="S101" s="124"/>
      <c r="T101" s="124"/>
      <c r="U101" s="121"/>
      <c r="V101" s="121"/>
      <c r="W101" s="124"/>
      <c r="X101" s="27">
        <v>1</v>
      </c>
      <c r="Y101" s="45" t="s">
        <v>336</v>
      </c>
    </row>
    <row r="102" spans="1:25" s="30" customFormat="1" ht="10.7" customHeight="1" x14ac:dyDescent="0.25">
      <c r="A102" s="164"/>
      <c r="B102" s="124" t="s">
        <v>274</v>
      </c>
      <c r="C102" s="124" t="s">
        <v>269</v>
      </c>
      <c r="D102" s="124" t="s">
        <v>215</v>
      </c>
      <c r="E102" s="124" t="s">
        <v>275</v>
      </c>
      <c r="F102" s="124" t="s">
        <v>205</v>
      </c>
      <c r="G102" s="214">
        <v>40</v>
      </c>
      <c r="H102" s="214">
        <v>150</v>
      </c>
      <c r="I102" s="124" t="s">
        <v>206</v>
      </c>
      <c r="J102" s="27" t="s">
        <v>207</v>
      </c>
      <c r="K102" s="29">
        <v>75</v>
      </c>
      <c r="L102" s="29">
        <v>150</v>
      </c>
      <c r="M102" s="29">
        <v>165</v>
      </c>
      <c r="N102" s="215">
        <v>0.05</v>
      </c>
      <c r="O102" s="216"/>
      <c r="P102" s="124" t="s">
        <v>208</v>
      </c>
      <c r="Q102" s="121">
        <v>2</v>
      </c>
      <c r="R102" s="121">
        <v>5</v>
      </c>
      <c r="S102" s="124">
        <v>1</v>
      </c>
      <c r="T102" s="124">
        <v>14</v>
      </c>
      <c r="U102" s="121" t="s">
        <v>289</v>
      </c>
      <c r="V102" s="121">
        <v>4</v>
      </c>
      <c r="W102" s="124">
        <v>500</v>
      </c>
      <c r="X102" s="27">
        <v>1</v>
      </c>
      <c r="Y102" s="45" t="s">
        <v>335</v>
      </c>
    </row>
    <row r="103" spans="1:25" s="30" customFormat="1" ht="10.7" customHeight="1" x14ac:dyDescent="0.25">
      <c r="A103" s="164"/>
      <c r="B103" s="124"/>
      <c r="C103" s="124"/>
      <c r="D103" s="124"/>
      <c r="E103" s="124"/>
      <c r="F103" s="124"/>
      <c r="G103" s="214"/>
      <c r="H103" s="214"/>
      <c r="I103" s="124"/>
      <c r="J103" s="27"/>
      <c r="K103" s="29"/>
      <c r="L103" s="29"/>
      <c r="M103" s="29"/>
      <c r="N103" s="215"/>
      <c r="O103" s="216"/>
      <c r="P103" s="124"/>
      <c r="Q103" s="121"/>
      <c r="R103" s="121"/>
      <c r="S103" s="124"/>
      <c r="T103" s="124"/>
      <c r="U103" s="121"/>
      <c r="V103" s="121"/>
      <c r="W103" s="124"/>
      <c r="X103" s="27">
        <v>1</v>
      </c>
      <c r="Y103" s="45" t="s">
        <v>336</v>
      </c>
    </row>
    <row r="104" spans="1:25" s="30" customFormat="1" ht="10.7" customHeight="1" x14ac:dyDescent="0.25">
      <c r="A104" s="164"/>
      <c r="B104" s="124" t="s">
        <v>276</v>
      </c>
      <c r="C104" s="124" t="s">
        <v>277</v>
      </c>
      <c r="D104" s="124" t="s">
        <v>215</v>
      </c>
      <c r="E104" s="124" t="s">
        <v>273</v>
      </c>
      <c r="F104" s="124" t="s">
        <v>205</v>
      </c>
      <c r="G104" s="214">
        <v>40</v>
      </c>
      <c r="H104" s="214">
        <v>150</v>
      </c>
      <c r="I104" s="124" t="s">
        <v>206</v>
      </c>
      <c r="J104" s="27" t="s">
        <v>207</v>
      </c>
      <c r="K104" s="29">
        <v>75</v>
      </c>
      <c r="L104" s="29">
        <v>150</v>
      </c>
      <c r="M104" s="29">
        <v>165</v>
      </c>
      <c r="N104" s="215">
        <v>0.05</v>
      </c>
      <c r="O104" s="216"/>
      <c r="P104" s="124" t="s">
        <v>208</v>
      </c>
      <c r="Q104" s="121">
        <v>2</v>
      </c>
      <c r="R104" s="121">
        <v>5</v>
      </c>
      <c r="S104" s="124">
        <v>1</v>
      </c>
      <c r="T104" s="124">
        <v>14</v>
      </c>
      <c r="U104" s="121" t="s">
        <v>289</v>
      </c>
      <c r="V104" s="121">
        <v>4</v>
      </c>
      <c r="W104" s="124">
        <v>500</v>
      </c>
      <c r="X104" s="27">
        <v>1</v>
      </c>
      <c r="Y104" s="45" t="s">
        <v>335</v>
      </c>
    </row>
    <row r="105" spans="1:25" s="30" customFormat="1" ht="10.7" customHeight="1" x14ac:dyDescent="0.25">
      <c r="A105" s="164"/>
      <c r="B105" s="124"/>
      <c r="C105" s="124"/>
      <c r="D105" s="124"/>
      <c r="E105" s="124"/>
      <c r="F105" s="124"/>
      <c r="G105" s="214"/>
      <c r="H105" s="214"/>
      <c r="I105" s="124"/>
      <c r="J105" s="27"/>
      <c r="K105" s="29"/>
      <c r="L105" s="29"/>
      <c r="M105" s="29"/>
      <c r="N105" s="215"/>
      <c r="O105" s="216"/>
      <c r="P105" s="124"/>
      <c r="Q105" s="121"/>
      <c r="R105" s="121"/>
      <c r="S105" s="124"/>
      <c r="T105" s="124"/>
      <c r="U105" s="121"/>
      <c r="V105" s="121"/>
      <c r="W105" s="124"/>
      <c r="X105" s="27">
        <v>1</v>
      </c>
      <c r="Y105" s="45" t="s">
        <v>336</v>
      </c>
    </row>
    <row r="106" spans="1:25" s="30" customFormat="1" ht="10.7" customHeight="1" x14ac:dyDescent="0.25">
      <c r="A106" s="164"/>
      <c r="B106" s="124" t="s">
        <v>338</v>
      </c>
      <c r="C106" s="124" t="s">
        <v>277</v>
      </c>
      <c r="D106" s="124" t="s">
        <v>337</v>
      </c>
      <c r="E106" s="124" t="s">
        <v>275</v>
      </c>
      <c r="F106" s="124" t="s">
        <v>205</v>
      </c>
      <c r="G106" s="214">
        <v>40</v>
      </c>
      <c r="H106" s="214">
        <v>150</v>
      </c>
      <c r="I106" s="124" t="s">
        <v>206</v>
      </c>
      <c r="J106" s="27" t="s">
        <v>207</v>
      </c>
      <c r="K106" s="29">
        <v>75</v>
      </c>
      <c r="L106" s="29">
        <v>150</v>
      </c>
      <c r="M106" s="29">
        <v>165</v>
      </c>
      <c r="N106" s="215">
        <v>0.05</v>
      </c>
      <c r="O106" s="216"/>
      <c r="P106" s="124" t="s">
        <v>208</v>
      </c>
      <c r="Q106" s="121">
        <v>2</v>
      </c>
      <c r="R106" s="121">
        <v>5</v>
      </c>
      <c r="S106" s="124">
        <v>1</v>
      </c>
      <c r="T106" s="124">
        <v>14</v>
      </c>
      <c r="U106" s="121" t="s">
        <v>289</v>
      </c>
      <c r="V106" s="121">
        <v>4</v>
      </c>
      <c r="W106" s="124">
        <v>500</v>
      </c>
      <c r="X106" s="27">
        <v>1</v>
      </c>
      <c r="Y106" s="45" t="s">
        <v>335</v>
      </c>
    </row>
    <row r="107" spans="1:25" s="30" customFormat="1" ht="10.7" customHeight="1" x14ac:dyDescent="0.25">
      <c r="A107" s="164"/>
      <c r="B107" s="124"/>
      <c r="C107" s="124"/>
      <c r="D107" s="124"/>
      <c r="E107" s="124"/>
      <c r="F107" s="124"/>
      <c r="G107" s="214"/>
      <c r="H107" s="214"/>
      <c r="I107" s="124"/>
      <c r="J107" s="27"/>
      <c r="K107" s="29"/>
      <c r="L107" s="29"/>
      <c r="M107" s="29"/>
      <c r="N107" s="215"/>
      <c r="O107" s="216"/>
      <c r="P107" s="124"/>
      <c r="Q107" s="121"/>
      <c r="R107" s="121"/>
      <c r="S107" s="124"/>
      <c r="T107" s="124"/>
      <c r="U107" s="121"/>
      <c r="V107" s="121"/>
      <c r="W107" s="124"/>
      <c r="X107" s="27">
        <v>1</v>
      </c>
      <c r="Y107" s="45" t="s">
        <v>336</v>
      </c>
    </row>
    <row r="108" spans="1:25" ht="10.7" customHeight="1" x14ac:dyDescent="0.2">
      <c r="A108" s="164"/>
      <c r="B108" s="23" t="s">
        <v>278</v>
      </c>
      <c r="C108" s="23" t="s">
        <v>277</v>
      </c>
      <c r="D108" s="23" t="s">
        <v>215</v>
      </c>
      <c r="E108" s="23" t="s">
        <v>271</v>
      </c>
      <c r="F108" s="23" t="s">
        <v>205</v>
      </c>
      <c r="G108" s="24">
        <v>40</v>
      </c>
      <c r="H108" s="24">
        <v>150</v>
      </c>
      <c r="I108" s="23" t="s">
        <v>206</v>
      </c>
      <c r="J108" s="23" t="s">
        <v>207</v>
      </c>
      <c r="K108" s="24">
        <v>75</v>
      </c>
      <c r="L108" s="24">
        <v>150</v>
      </c>
      <c r="M108" s="24">
        <v>165</v>
      </c>
      <c r="N108" s="25">
        <v>0.05</v>
      </c>
      <c r="O108" s="26"/>
      <c r="P108" s="23" t="s">
        <v>208</v>
      </c>
      <c r="Q108" s="33" t="s">
        <v>289</v>
      </c>
      <c r="R108" s="33" t="s">
        <v>289</v>
      </c>
      <c r="S108" s="27">
        <v>6</v>
      </c>
      <c r="T108" s="27">
        <v>4</v>
      </c>
      <c r="U108" s="33" t="s">
        <v>289</v>
      </c>
      <c r="V108" s="33" t="s">
        <v>289</v>
      </c>
      <c r="W108" s="27">
        <v>30</v>
      </c>
      <c r="X108" s="33" t="s">
        <v>289</v>
      </c>
      <c r="Y108" s="46" t="s">
        <v>289</v>
      </c>
    </row>
    <row r="109" spans="1:25" ht="10.7" customHeight="1" x14ac:dyDescent="0.2">
      <c r="A109" s="164"/>
      <c r="B109" s="23" t="s">
        <v>279</v>
      </c>
      <c r="C109" s="23" t="s">
        <v>277</v>
      </c>
      <c r="D109" s="23" t="s">
        <v>222</v>
      </c>
      <c r="E109" s="23" t="s">
        <v>229</v>
      </c>
      <c r="F109" s="23" t="s">
        <v>205</v>
      </c>
      <c r="G109" s="24">
        <v>40</v>
      </c>
      <c r="H109" s="24">
        <v>150</v>
      </c>
      <c r="I109" s="23" t="s">
        <v>206</v>
      </c>
      <c r="J109" s="23" t="s">
        <v>207</v>
      </c>
      <c r="K109" s="24">
        <v>75</v>
      </c>
      <c r="L109" s="24">
        <v>150</v>
      </c>
      <c r="M109" s="24">
        <v>165</v>
      </c>
      <c r="N109" s="25">
        <v>0.05</v>
      </c>
      <c r="O109" s="26"/>
      <c r="P109" s="23" t="s">
        <v>208</v>
      </c>
      <c r="Q109" s="33" t="s">
        <v>289</v>
      </c>
      <c r="R109" s="27">
        <v>6</v>
      </c>
      <c r="S109" s="33" t="s">
        <v>289</v>
      </c>
      <c r="T109" s="27">
        <v>4</v>
      </c>
      <c r="U109" s="33" t="s">
        <v>289</v>
      </c>
      <c r="V109" s="27">
        <v>4</v>
      </c>
      <c r="W109" s="27">
        <v>30</v>
      </c>
      <c r="X109" s="33" t="s">
        <v>289</v>
      </c>
      <c r="Y109" s="46" t="s">
        <v>289</v>
      </c>
    </row>
    <row r="110" spans="1:25" s="30" customFormat="1" ht="10.7" customHeight="1" x14ac:dyDescent="0.25">
      <c r="A110" s="164"/>
      <c r="B110" s="124" t="s">
        <v>353</v>
      </c>
      <c r="C110" s="124" t="s">
        <v>347</v>
      </c>
      <c r="D110" s="124" t="s">
        <v>290</v>
      </c>
      <c r="E110" s="124" t="s">
        <v>354</v>
      </c>
      <c r="F110" s="171" t="s">
        <v>407</v>
      </c>
      <c r="G110" s="171"/>
      <c r="H110" s="171"/>
      <c r="I110" s="171"/>
      <c r="J110" s="27"/>
      <c r="K110" s="29"/>
      <c r="L110" s="29"/>
      <c r="M110" s="29"/>
      <c r="N110" s="215">
        <v>0.05</v>
      </c>
      <c r="O110" s="216"/>
      <c r="P110" s="124" t="s">
        <v>208</v>
      </c>
      <c r="Q110" s="121"/>
      <c r="R110" s="121" t="s">
        <v>289</v>
      </c>
      <c r="S110" s="124">
        <v>6</v>
      </c>
      <c r="T110" s="124">
        <v>14</v>
      </c>
      <c r="U110" s="121">
        <v>2</v>
      </c>
      <c r="V110" s="121" t="s">
        <v>289</v>
      </c>
      <c r="W110" s="124">
        <v>360</v>
      </c>
      <c r="X110" s="27">
        <v>2</v>
      </c>
      <c r="Y110" s="45" t="s">
        <v>355</v>
      </c>
    </row>
    <row r="111" spans="1:25" s="30" customFormat="1" ht="10.7" customHeight="1" x14ac:dyDescent="0.25">
      <c r="A111" s="164"/>
      <c r="B111" s="124"/>
      <c r="C111" s="124"/>
      <c r="D111" s="124"/>
      <c r="E111" s="124"/>
      <c r="F111" s="171"/>
      <c r="G111" s="171"/>
      <c r="H111" s="171"/>
      <c r="I111" s="171"/>
      <c r="J111" s="27"/>
      <c r="K111" s="29"/>
      <c r="L111" s="29"/>
      <c r="M111" s="29"/>
      <c r="N111" s="215"/>
      <c r="O111" s="216"/>
      <c r="P111" s="124"/>
      <c r="Q111" s="121"/>
      <c r="R111" s="121"/>
      <c r="S111" s="124"/>
      <c r="T111" s="124"/>
      <c r="U111" s="121"/>
      <c r="V111" s="121"/>
      <c r="W111" s="124"/>
      <c r="X111" s="27">
        <v>2</v>
      </c>
      <c r="Y111" s="45" t="s">
        <v>316</v>
      </c>
    </row>
    <row r="112" spans="1:25" s="30" customFormat="1" ht="21.4" customHeight="1" x14ac:dyDescent="0.25">
      <c r="A112" s="164"/>
      <c r="B112" s="27" t="s">
        <v>345</v>
      </c>
      <c r="C112" s="27" t="s">
        <v>347</v>
      </c>
      <c r="D112" s="27" t="s">
        <v>348</v>
      </c>
      <c r="E112" s="27" t="s">
        <v>350</v>
      </c>
      <c r="F112" s="171" t="s">
        <v>407</v>
      </c>
      <c r="G112" s="171"/>
      <c r="H112" s="171"/>
      <c r="I112" s="171"/>
      <c r="J112" s="27"/>
      <c r="K112" s="29"/>
      <c r="L112" s="29"/>
      <c r="M112" s="29"/>
      <c r="N112" s="31">
        <v>0.05</v>
      </c>
      <c r="O112" s="32"/>
      <c r="P112" s="27" t="s">
        <v>208</v>
      </c>
      <c r="Q112" s="33" t="s">
        <v>289</v>
      </c>
      <c r="R112" s="27">
        <v>2</v>
      </c>
      <c r="S112" s="33" t="s">
        <v>289</v>
      </c>
      <c r="T112" s="27">
        <v>4</v>
      </c>
      <c r="U112" s="33" t="s">
        <v>289</v>
      </c>
      <c r="V112" s="27">
        <v>2</v>
      </c>
      <c r="W112" s="27">
        <v>20</v>
      </c>
      <c r="X112" s="27">
        <v>1</v>
      </c>
      <c r="Y112" s="45" t="s">
        <v>356</v>
      </c>
    </row>
    <row r="113" spans="1:25" s="30" customFormat="1" ht="10.7" customHeight="1" x14ac:dyDescent="0.25">
      <c r="A113" s="164"/>
      <c r="B113" s="124" t="s">
        <v>346</v>
      </c>
      <c r="C113" s="124" t="s">
        <v>347</v>
      </c>
      <c r="D113" s="124" t="s">
        <v>348</v>
      </c>
      <c r="E113" s="124" t="s">
        <v>349</v>
      </c>
      <c r="F113" s="171" t="s">
        <v>407</v>
      </c>
      <c r="G113" s="171"/>
      <c r="H113" s="171"/>
      <c r="I113" s="171"/>
      <c r="J113" s="27"/>
      <c r="K113" s="29"/>
      <c r="L113" s="29"/>
      <c r="M113" s="29"/>
      <c r="N113" s="215">
        <v>0.05</v>
      </c>
      <c r="O113" s="216"/>
      <c r="P113" s="124" t="s">
        <v>208</v>
      </c>
      <c r="Q113" s="121" t="s">
        <v>289</v>
      </c>
      <c r="R113" s="121">
        <v>2</v>
      </c>
      <c r="S113" s="124" t="s">
        <v>289</v>
      </c>
      <c r="T113" s="124">
        <v>4</v>
      </c>
      <c r="U113" s="121" t="s">
        <v>289</v>
      </c>
      <c r="V113" s="121">
        <v>2</v>
      </c>
      <c r="W113" s="124">
        <v>20</v>
      </c>
      <c r="X113" s="27">
        <v>1</v>
      </c>
      <c r="Y113" s="45" t="s">
        <v>356</v>
      </c>
    </row>
    <row r="114" spans="1:25" s="30" customFormat="1" ht="10.7" customHeight="1" x14ac:dyDescent="0.25">
      <c r="A114" s="164"/>
      <c r="B114" s="124"/>
      <c r="C114" s="124"/>
      <c r="D114" s="124"/>
      <c r="E114" s="124"/>
      <c r="F114" s="171"/>
      <c r="G114" s="171"/>
      <c r="H114" s="171"/>
      <c r="I114" s="171"/>
      <c r="J114" s="27"/>
      <c r="K114" s="29"/>
      <c r="L114" s="29"/>
      <c r="M114" s="29"/>
      <c r="N114" s="215"/>
      <c r="O114" s="216"/>
      <c r="P114" s="124"/>
      <c r="Q114" s="121"/>
      <c r="R114" s="121"/>
      <c r="S114" s="124"/>
      <c r="T114" s="124"/>
      <c r="U114" s="121"/>
      <c r="V114" s="121"/>
      <c r="W114" s="124"/>
      <c r="X114" s="27">
        <v>1</v>
      </c>
      <c r="Y114" s="45" t="s">
        <v>357</v>
      </c>
    </row>
    <row r="115" spans="1:25" s="30" customFormat="1" ht="10.7" customHeight="1" x14ac:dyDescent="0.25">
      <c r="A115" s="164"/>
      <c r="B115" s="27" t="s">
        <v>345</v>
      </c>
      <c r="C115" s="27" t="s">
        <v>347</v>
      </c>
      <c r="D115" s="27" t="s">
        <v>348</v>
      </c>
      <c r="E115" s="27" t="s">
        <v>351</v>
      </c>
      <c r="F115" s="171" t="s">
        <v>407</v>
      </c>
      <c r="G115" s="171"/>
      <c r="H115" s="171"/>
      <c r="I115" s="171"/>
      <c r="J115" s="27"/>
      <c r="K115" s="29"/>
      <c r="L115" s="29"/>
      <c r="M115" s="29"/>
      <c r="N115" s="31">
        <v>0.05</v>
      </c>
      <c r="O115" s="217"/>
      <c r="P115" s="27" t="s">
        <v>208</v>
      </c>
      <c r="Q115" s="33" t="s">
        <v>289</v>
      </c>
      <c r="R115" s="27">
        <v>2</v>
      </c>
      <c r="S115" s="33" t="s">
        <v>289</v>
      </c>
      <c r="T115" s="27">
        <v>4</v>
      </c>
      <c r="U115" s="33" t="s">
        <v>289</v>
      </c>
      <c r="V115" s="27">
        <v>2</v>
      </c>
      <c r="W115" s="27">
        <v>20</v>
      </c>
      <c r="X115" s="27">
        <v>1</v>
      </c>
      <c r="Y115" s="45" t="s">
        <v>356</v>
      </c>
    </row>
    <row r="116" spans="1:25" s="30" customFormat="1" ht="10.7" customHeight="1" x14ac:dyDescent="0.25">
      <c r="A116" s="164"/>
      <c r="B116" s="124" t="s">
        <v>346</v>
      </c>
      <c r="C116" s="124" t="s">
        <v>347</v>
      </c>
      <c r="D116" s="124" t="s">
        <v>348</v>
      </c>
      <c r="E116" s="124" t="s">
        <v>352</v>
      </c>
      <c r="F116" s="171" t="s">
        <v>407</v>
      </c>
      <c r="G116" s="171"/>
      <c r="H116" s="171"/>
      <c r="I116" s="171"/>
      <c r="J116" s="27"/>
      <c r="K116" s="29"/>
      <c r="L116" s="29"/>
      <c r="M116" s="29"/>
      <c r="N116" s="215">
        <v>0.05</v>
      </c>
      <c r="O116" s="216"/>
      <c r="P116" s="124" t="s">
        <v>208</v>
      </c>
      <c r="Q116" s="121" t="s">
        <v>289</v>
      </c>
      <c r="R116" s="121">
        <v>2</v>
      </c>
      <c r="S116" s="124" t="s">
        <v>289</v>
      </c>
      <c r="T116" s="124">
        <v>4</v>
      </c>
      <c r="U116" s="121" t="s">
        <v>289</v>
      </c>
      <c r="V116" s="121">
        <v>2</v>
      </c>
      <c r="W116" s="124">
        <v>20</v>
      </c>
      <c r="X116" s="27">
        <v>1</v>
      </c>
      <c r="Y116" s="45" t="s">
        <v>356</v>
      </c>
    </row>
    <row r="117" spans="1:25" s="30" customFormat="1" ht="10.7" customHeight="1" thickBot="1" x14ac:dyDescent="0.3">
      <c r="A117" s="165"/>
      <c r="B117" s="222"/>
      <c r="C117" s="222"/>
      <c r="D117" s="222"/>
      <c r="E117" s="222"/>
      <c r="F117" s="161"/>
      <c r="G117" s="161"/>
      <c r="H117" s="161"/>
      <c r="I117" s="161"/>
      <c r="J117" s="105"/>
      <c r="K117" s="223"/>
      <c r="L117" s="223"/>
      <c r="M117" s="223"/>
      <c r="N117" s="224"/>
      <c r="O117" s="225"/>
      <c r="P117" s="222"/>
      <c r="Q117" s="153"/>
      <c r="R117" s="153"/>
      <c r="S117" s="222"/>
      <c r="T117" s="222"/>
      <c r="U117" s="153"/>
      <c r="V117" s="153"/>
      <c r="W117" s="222"/>
      <c r="X117" s="105">
        <v>1</v>
      </c>
      <c r="Y117" s="106" t="s">
        <v>357</v>
      </c>
    </row>
    <row r="119" spans="1:25" x14ac:dyDescent="0.25">
      <c r="A119" s="15" t="s">
        <v>409</v>
      </c>
    </row>
  </sheetData>
  <mergeCells count="465">
    <mergeCell ref="F115:I115"/>
    <mergeCell ref="A79:A89"/>
    <mergeCell ref="Q21:Q23"/>
    <mergeCell ref="R21:R23"/>
    <mergeCell ref="T12:T14"/>
    <mergeCell ref="U12:U14"/>
    <mergeCell ref="W12:W14"/>
    <mergeCell ref="B21:B23"/>
    <mergeCell ref="C21:C23"/>
    <mergeCell ref="D21:D23"/>
    <mergeCell ref="E21:E23"/>
    <mergeCell ref="F21:F23"/>
    <mergeCell ref="G21:G23"/>
    <mergeCell ref="H21:H23"/>
    <mergeCell ref="I12:I14"/>
    <mergeCell ref="O12:O14"/>
    <mergeCell ref="P12:P14"/>
    <mergeCell ref="Q12:Q14"/>
    <mergeCell ref="R12:R14"/>
    <mergeCell ref="S12:S14"/>
    <mergeCell ref="S21:S23"/>
    <mergeCell ref="T21:T23"/>
    <mergeCell ref="U21:U23"/>
    <mergeCell ref="W21:W23"/>
    <mergeCell ref="I21:I23"/>
    <mergeCell ref="N21:N23"/>
    <mergeCell ref="P21:P23"/>
    <mergeCell ref="N12:N14"/>
    <mergeCell ref="E12:E14"/>
    <mergeCell ref="F12:F14"/>
    <mergeCell ref="G12:G14"/>
    <mergeCell ref="H12:H14"/>
    <mergeCell ref="O3:O5"/>
    <mergeCell ref="P3:P5"/>
    <mergeCell ref="N7:N10"/>
    <mergeCell ref="Q3:Q5"/>
    <mergeCell ref="R3:R5"/>
    <mergeCell ref="X1:Y1"/>
    <mergeCell ref="B3:B5"/>
    <mergeCell ref="C3:C5"/>
    <mergeCell ref="D3:D5"/>
    <mergeCell ref="E3:E5"/>
    <mergeCell ref="F3:F5"/>
    <mergeCell ref="G3:G5"/>
    <mergeCell ref="H3:H5"/>
    <mergeCell ref="I3:I5"/>
    <mergeCell ref="N3:N5"/>
    <mergeCell ref="Q1:Q2"/>
    <mergeCell ref="R1:R2"/>
    <mergeCell ref="S1:S2"/>
    <mergeCell ref="T1:T2"/>
    <mergeCell ref="U1:U2"/>
    <mergeCell ref="W1:W2"/>
    <mergeCell ref="U3:U5"/>
    <mergeCell ref="W3:W5"/>
    <mergeCell ref="S3:S5"/>
    <mergeCell ref="T3:T5"/>
    <mergeCell ref="B36:B37"/>
    <mergeCell ref="C36:C37"/>
    <mergeCell ref="D36:D37"/>
    <mergeCell ref="E36:E37"/>
    <mergeCell ref="F36:F37"/>
    <mergeCell ref="P1:P2"/>
    <mergeCell ref="F31:I31"/>
    <mergeCell ref="F29:I29"/>
    <mergeCell ref="F28:I28"/>
    <mergeCell ref="F30:I30"/>
    <mergeCell ref="B1:B2"/>
    <mergeCell ref="C1:C2"/>
    <mergeCell ref="D1:D2"/>
    <mergeCell ref="E1:E2"/>
    <mergeCell ref="F1:F2"/>
    <mergeCell ref="G1:G2"/>
    <mergeCell ref="H1:H2"/>
    <mergeCell ref="I1:I2"/>
    <mergeCell ref="N1:N2"/>
    <mergeCell ref="O1:O2"/>
    <mergeCell ref="B12:B14"/>
    <mergeCell ref="C12:C14"/>
    <mergeCell ref="D12:D14"/>
    <mergeCell ref="O21:O23"/>
    <mergeCell ref="F44:I44"/>
    <mergeCell ref="F45:I45"/>
    <mergeCell ref="F46:I46"/>
    <mergeCell ref="P36:P37"/>
    <mergeCell ref="Q36:Q37"/>
    <mergeCell ref="R36:R37"/>
    <mergeCell ref="S36:S37"/>
    <mergeCell ref="T36:T37"/>
    <mergeCell ref="G36:G37"/>
    <mergeCell ref="H36:H37"/>
    <mergeCell ref="I36:I37"/>
    <mergeCell ref="N36:N37"/>
    <mergeCell ref="O36:O37"/>
    <mergeCell ref="F47:I47"/>
    <mergeCell ref="W49:W50"/>
    <mergeCell ref="U49:U50"/>
    <mergeCell ref="T49:T50"/>
    <mergeCell ref="S49:S50"/>
    <mergeCell ref="R49:R50"/>
    <mergeCell ref="Q49:Q50"/>
    <mergeCell ref="P49:P50"/>
    <mergeCell ref="O49:O50"/>
    <mergeCell ref="N49:N50"/>
    <mergeCell ref="I49:I50"/>
    <mergeCell ref="H49:H50"/>
    <mergeCell ref="G49:G50"/>
    <mergeCell ref="F49:F50"/>
    <mergeCell ref="B51:B52"/>
    <mergeCell ref="C51:C52"/>
    <mergeCell ref="D51:D52"/>
    <mergeCell ref="E51:E52"/>
    <mergeCell ref="F51:F52"/>
    <mergeCell ref="E49:E50"/>
    <mergeCell ref="D49:D50"/>
    <mergeCell ref="C49:C50"/>
    <mergeCell ref="B49:B50"/>
    <mergeCell ref="P51:P52"/>
    <mergeCell ref="Q51:Q52"/>
    <mergeCell ref="R51:R52"/>
    <mergeCell ref="S51:S52"/>
    <mergeCell ref="T51:T52"/>
    <mergeCell ref="G51:G52"/>
    <mergeCell ref="H51:H52"/>
    <mergeCell ref="I51:I52"/>
    <mergeCell ref="N51:N52"/>
    <mergeCell ref="O51:O52"/>
    <mergeCell ref="F55:I55"/>
    <mergeCell ref="B59:B60"/>
    <mergeCell ref="C59:C60"/>
    <mergeCell ref="D59:D60"/>
    <mergeCell ref="E59:E60"/>
    <mergeCell ref="F59:F60"/>
    <mergeCell ref="G59:G60"/>
    <mergeCell ref="H59:H60"/>
    <mergeCell ref="I59:I60"/>
    <mergeCell ref="Q63:Q64"/>
    <mergeCell ref="R63:R64"/>
    <mergeCell ref="S63:S64"/>
    <mergeCell ref="T63:T64"/>
    <mergeCell ref="U63:U64"/>
    <mergeCell ref="W63:W64"/>
    <mergeCell ref="N59:N60"/>
    <mergeCell ref="O59:O60"/>
    <mergeCell ref="P59:P60"/>
    <mergeCell ref="Q59:Q60"/>
    <mergeCell ref="R59:R60"/>
    <mergeCell ref="S59:S60"/>
    <mergeCell ref="T59:T60"/>
    <mergeCell ref="U59:U60"/>
    <mergeCell ref="W59:W60"/>
    <mergeCell ref="B79:B80"/>
    <mergeCell ref="C79:C80"/>
    <mergeCell ref="F63:F64"/>
    <mergeCell ref="G63:G64"/>
    <mergeCell ref="H63:H64"/>
    <mergeCell ref="I63:I64"/>
    <mergeCell ref="N63:N64"/>
    <mergeCell ref="O63:O64"/>
    <mergeCell ref="P63:P64"/>
    <mergeCell ref="N79:N80"/>
    <mergeCell ref="O79:O80"/>
    <mergeCell ref="P79:P80"/>
    <mergeCell ref="Q79:Q80"/>
    <mergeCell ref="R79:R80"/>
    <mergeCell ref="S79:S80"/>
    <mergeCell ref="F77:I77"/>
    <mergeCell ref="F78:I78"/>
    <mergeCell ref="F75:I75"/>
    <mergeCell ref="F76:I76"/>
    <mergeCell ref="B82:B85"/>
    <mergeCell ref="C82:C85"/>
    <mergeCell ref="D82:D85"/>
    <mergeCell ref="E82:E85"/>
    <mergeCell ref="F82:F85"/>
    <mergeCell ref="G82:G85"/>
    <mergeCell ref="H82:H85"/>
    <mergeCell ref="I82:I85"/>
    <mergeCell ref="N82:N85"/>
    <mergeCell ref="T82:T85"/>
    <mergeCell ref="U82:U85"/>
    <mergeCell ref="W82:W85"/>
    <mergeCell ref="V1:V2"/>
    <mergeCell ref="V3:V5"/>
    <mergeCell ref="V12:V14"/>
    <mergeCell ref="V21:V23"/>
    <mergeCell ref="V36:V37"/>
    <mergeCell ref="V49:V50"/>
    <mergeCell ref="V51:V52"/>
    <mergeCell ref="V59:V60"/>
    <mergeCell ref="V63:V64"/>
    <mergeCell ref="V79:V80"/>
    <mergeCell ref="V82:V85"/>
    <mergeCell ref="T79:T80"/>
    <mergeCell ref="U79:U80"/>
    <mergeCell ref="W79:W80"/>
    <mergeCell ref="U51:U52"/>
    <mergeCell ref="W51:W52"/>
    <mergeCell ref="U36:U37"/>
    <mergeCell ref="W36:W37"/>
    <mergeCell ref="T7:T10"/>
    <mergeCell ref="U7:U10"/>
    <mergeCell ref="V7:V10"/>
    <mergeCell ref="T87:T88"/>
    <mergeCell ref="U87:U88"/>
    <mergeCell ref="V87:V88"/>
    <mergeCell ref="W87:W88"/>
    <mergeCell ref="B87:B88"/>
    <mergeCell ref="C87:C88"/>
    <mergeCell ref="D87:D88"/>
    <mergeCell ref="E87:E88"/>
    <mergeCell ref="F87:F88"/>
    <mergeCell ref="G87:G88"/>
    <mergeCell ref="H87:H88"/>
    <mergeCell ref="I87:I88"/>
    <mergeCell ref="N87:N88"/>
    <mergeCell ref="A32:A47"/>
    <mergeCell ref="A48:A55"/>
    <mergeCell ref="A56:A78"/>
    <mergeCell ref="A90:A117"/>
    <mergeCell ref="O87:O88"/>
    <mergeCell ref="P87:P88"/>
    <mergeCell ref="Q87:Q88"/>
    <mergeCell ref="R87:R88"/>
    <mergeCell ref="S87:S88"/>
    <mergeCell ref="O82:O85"/>
    <mergeCell ref="P82:P85"/>
    <mergeCell ref="Q82:Q85"/>
    <mergeCell ref="R82:R85"/>
    <mergeCell ref="S82:S85"/>
    <mergeCell ref="D79:D80"/>
    <mergeCell ref="E79:E80"/>
    <mergeCell ref="F79:F80"/>
    <mergeCell ref="G79:G80"/>
    <mergeCell ref="H79:H80"/>
    <mergeCell ref="I79:I80"/>
    <mergeCell ref="B63:B64"/>
    <mergeCell ref="C63:C64"/>
    <mergeCell ref="D63:D64"/>
    <mergeCell ref="E63:E64"/>
    <mergeCell ref="S90:S91"/>
    <mergeCell ref="T90:T91"/>
    <mergeCell ref="U90:U91"/>
    <mergeCell ref="V90:V91"/>
    <mergeCell ref="F89:I89"/>
    <mergeCell ref="B90:B91"/>
    <mergeCell ref="C90:C91"/>
    <mergeCell ref="D90:D91"/>
    <mergeCell ref="E90:E91"/>
    <mergeCell ref="F90:F91"/>
    <mergeCell ref="G90:G91"/>
    <mergeCell ref="H90:H91"/>
    <mergeCell ref="I90:I91"/>
    <mergeCell ref="W90:W91"/>
    <mergeCell ref="B92:B93"/>
    <mergeCell ref="C92:C93"/>
    <mergeCell ref="D92:D93"/>
    <mergeCell ref="E92:E93"/>
    <mergeCell ref="F92:F93"/>
    <mergeCell ref="G92:G93"/>
    <mergeCell ref="H92:H93"/>
    <mergeCell ref="I92:I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N90:N91"/>
    <mergeCell ref="O90:O91"/>
    <mergeCell ref="P90:P91"/>
    <mergeCell ref="Q90:Q91"/>
    <mergeCell ref="R90:R91"/>
    <mergeCell ref="B94:B95"/>
    <mergeCell ref="C94:C95"/>
    <mergeCell ref="D94:D95"/>
    <mergeCell ref="E94:E95"/>
    <mergeCell ref="F94:F95"/>
    <mergeCell ref="G94:G95"/>
    <mergeCell ref="H94:H95"/>
    <mergeCell ref="I94:I95"/>
    <mergeCell ref="N94:N95"/>
    <mergeCell ref="O94:O95"/>
    <mergeCell ref="P94:P95"/>
    <mergeCell ref="S94:S95"/>
    <mergeCell ref="T94:T95"/>
    <mergeCell ref="U94:U95"/>
    <mergeCell ref="V94:V95"/>
    <mergeCell ref="W94:W95"/>
    <mergeCell ref="Q94:Q95"/>
    <mergeCell ref="R94:R95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T102:T103"/>
    <mergeCell ref="Q102:Q103"/>
    <mergeCell ref="R102:R103"/>
    <mergeCell ref="S102:S103"/>
    <mergeCell ref="U102:U103"/>
    <mergeCell ref="V102:V103"/>
    <mergeCell ref="W102:W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N102:N103"/>
    <mergeCell ref="O102:O103"/>
    <mergeCell ref="P102:P103"/>
    <mergeCell ref="Q104:Q105"/>
    <mergeCell ref="R104:R105"/>
    <mergeCell ref="S104:S105"/>
    <mergeCell ref="T104:T105"/>
    <mergeCell ref="U104:U105"/>
    <mergeCell ref="V104:V105"/>
    <mergeCell ref="W104:W105"/>
    <mergeCell ref="Q106:Q107"/>
    <mergeCell ref="R106:R107"/>
    <mergeCell ref="S106:S107"/>
    <mergeCell ref="T106:T107"/>
    <mergeCell ref="U106:U107"/>
    <mergeCell ref="V106:V107"/>
    <mergeCell ref="W106:W107"/>
    <mergeCell ref="O104:O105"/>
    <mergeCell ref="P104:P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N106:N107"/>
    <mergeCell ref="O106:O107"/>
    <mergeCell ref="P106:P107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N104:N105"/>
    <mergeCell ref="B113:B114"/>
    <mergeCell ref="C113:C114"/>
    <mergeCell ref="D113:D114"/>
    <mergeCell ref="E113:E114"/>
    <mergeCell ref="N113:N114"/>
    <mergeCell ref="F112:I112"/>
    <mergeCell ref="F113:I114"/>
    <mergeCell ref="O113:O114"/>
    <mergeCell ref="P113:P114"/>
    <mergeCell ref="Q113:Q114"/>
    <mergeCell ref="R113:R114"/>
    <mergeCell ref="S113:S114"/>
    <mergeCell ref="T113:T114"/>
    <mergeCell ref="U113:U114"/>
    <mergeCell ref="V113:V114"/>
    <mergeCell ref="W113:W114"/>
    <mergeCell ref="B116:B117"/>
    <mergeCell ref="C116:C117"/>
    <mergeCell ref="D116:D117"/>
    <mergeCell ref="E116:E117"/>
    <mergeCell ref="N116:N117"/>
    <mergeCell ref="F116:I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B110:B111"/>
    <mergeCell ref="C110:C111"/>
    <mergeCell ref="D110:D111"/>
    <mergeCell ref="E110:E111"/>
    <mergeCell ref="N110:N111"/>
    <mergeCell ref="F110:I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A1:A2"/>
    <mergeCell ref="B7:B10"/>
    <mergeCell ref="C7:C10"/>
    <mergeCell ref="D7:D10"/>
    <mergeCell ref="E7:E10"/>
    <mergeCell ref="F7:F10"/>
    <mergeCell ref="G7:G10"/>
    <mergeCell ref="H7:H10"/>
    <mergeCell ref="I7:I10"/>
    <mergeCell ref="A3:A31"/>
    <mergeCell ref="B25:B26"/>
    <mergeCell ref="C25:C26"/>
    <mergeCell ref="D25:D26"/>
    <mergeCell ref="E25:E26"/>
    <mergeCell ref="F25:F26"/>
    <mergeCell ref="G25:G26"/>
    <mergeCell ref="H25:H26"/>
    <mergeCell ref="I25:I26"/>
    <mergeCell ref="W7:W10"/>
    <mergeCell ref="B16:B19"/>
    <mergeCell ref="C16:C19"/>
    <mergeCell ref="D16:D19"/>
    <mergeCell ref="E16:E19"/>
    <mergeCell ref="F16:F19"/>
    <mergeCell ref="G16:G19"/>
    <mergeCell ref="H16:H19"/>
    <mergeCell ref="I16:I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O7:O10"/>
    <mergeCell ref="P7:P10"/>
    <mergeCell ref="Q7:Q10"/>
    <mergeCell ref="R7:R10"/>
    <mergeCell ref="S7:S10"/>
    <mergeCell ref="W25:W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D319-0C1B-4F5A-B042-6A0F56C1AE29}">
  <sheetPr>
    <pageSetUpPr fitToPage="1"/>
  </sheetPr>
  <dimension ref="A1:H21"/>
  <sheetViews>
    <sheetView zoomScale="80" zoomScaleNormal="80" zoomScaleSheetLayoutView="90" zoomScalePageLayoutView="70" workbookViewId="0">
      <selection activeCell="N16" sqref="N16"/>
    </sheetView>
  </sheetViews>
  <sheetFormatPr defaultColWidth="9.140625" defaultRowHeight="14.3" x14ac:dyDescent="0.25"/>
  <cols>
    <col min="1" max="1" width="17.85546875" style="72" customWidth="1"/>
    <col min="2" max="2" width="19.85546875" style="72" customWidth="1"/>
    <col min="3" max="3" width="36.42578125" style="72" customWidth="1"/>
    <col min="4" max="4" width="1.42578125" style="72" customWidth="1"/>
    <col min="5" max="8" width="15" style="72" customWidth="1"/>
    <col min="9" max="9" width="8.7109375" style="72" customWidth="1"/>
    <col min="10" max="13" width="9.140625" style="72"/>
    <col min="14" max="14" width="21.5703125" style="72" bestFit="1" customWidth="1"/>
    <col min="15" max="15" width="15.7109375" style="72" bestFit="1" customWidth="1"/>
    <col min="16" max="16" width="4.85546875" style="72" bestFit="1" customWidth="1"/>
    <col min="17" max="17" width="13.42578125" style="72" bestFit="1" customWidth="1"/>
    <col min="18" max="16384" width="9.140625" style="72"/>
  </cols>
  <sheetData>
    <row r="1" spans="1:8" ht="62.75" customHeight="1" thickBot="1" x14ac:dyDescent="0.3">
      <c r="A1" s="188"/>
      <c r="B1" s="189"/>
      <c r="C1" s="197" t="s">
        <v>368</v>
      </c>
      <c r="D1" s="198"/>
      <c r="E1" s="198"/>
      <c r="F1" s="198"/>
      <c r="G1" s="199"/>
    </row>
    <row r="2" spans="1:8" ht="21.75" customHeight="1" thickBot="1" x14ac:dyDescent="0.3">
      <c r="A2" s="197" t="s">
        <v>369</v>
      </c>
      <c r="B2" s="198"/>
      <c r="C2" s="198"/>
      <c r="D2" s="198"/>
      <c r="E2" s="198"/>
      <c r="F2" s="198"/>
      <c r="G2" s="199"/>
    </row>
    <row r="3" spans="1:8" ht="9.1" customHeight="1" thickBot="1" x14ac:dyDescent="0.3">
      <c r="A3" s="73"/>
      <c r="B3" s="74"/>
      <c r="C3" s="74"/>
      <c r="D3" s="203"/>
      <c r="E3" s="203"/>
      <c r="F3" s="203"/>
      <c r="G3" s="75"/>
    </row>
    <row r="4" spans="1:8" ht="5.2" customHeight="1" thickBot="1" x14ac:dyDescent="0.3">
      <c r="G4" s="76"/>
    </row>
    <row r="5" spans="1:8" ht="21.75" customHeight="1" thickBot="1" x14ac:dyDescent="0.3">
      <c r="A5" s="77" t="s">
        <v>377</v>
      </c>
      <c r="B5" s="200"/>
      <c r="C5" s="200"/>
      <c r="D5" s="78"/>
      <c r="E5" s="78" t="s">
        <v>367</v>
      </c>
      <c r="F5" s="201"/>
      <c r="G5" s="202"/>
    </row>
    <row r="7" spans="1:8" x14ac:dyDescent="0.25">
      <c r="A7" s="79"/>
      <c r="B7" s="79"/>
      <c r="C7" s="79"/>
      <c r="D7" s="79"/>
      <c r="E7" s="194" t="s">
        <v>373</v>
      </c>
      <c r="F7" s="195"/>
      <c r="G7" s="196"/>
    </row>
    <row r="8" spans="1:8" s="2" customFormat="1" ht="26.2" customHeight="1" x14ac:dyDescent="0.25">
      <c r="A8" s="91" t="s">
        <v>365</v>
      </c>
      <c r="B8" s="192" t="s">
        <v>376</v>
      </c>
      <c r="C8" s="193"/>
      <c r="D8" s="80"/>
      <c r="E8" s="81" t="s">
        <v>371</v>
      </c>
      <c r="F8" s="81" t="s">
        <v>372</v>
      </c>
      <c r="G8" s="82" t="s">
        <v>374</v>
      </c>
    </row>
    <row r="9" spans="1:8" ht="27.8" customHeight="1" x14ac:dyDescent="0.25">
      <c r="A9" s="12" t="s">
        <v>366</v>
      </c>
      <c r="B9" s="190" t="s">
        <v>387</v>
      </c>
      <c r="C9" s="191"/>
      <c r="D9" s="79"/>
      <c r="E9" s="83"/>
      <c r="F9" s="83"/>
      <c r="G9" s="84"/>
    </row>
    <row r="10" spans="1:8" ht="27.8" customHeight="1" x14ac:dyDescent="0.25">
      <c r="A10" s="12" t="s">
        <v>375</v>
      </c>
      <c r="B10" s="190" t="s">
        <v>378</v>
      </c>
      <c r="C10" s="191"/>
      <c r="E10" s="86"/>
      <c r="F10" s="85"/>
      <c r="G10" s="84"/>
    </row>
    <row r="11" spans="1:8" ht="27.8" customHeight="1" x14ac:dyDescent="0.25">
      <c r="A11" s="12" t="s">
        <v>379</v>
      </c>
      <c r="B11" s="190" t="s">
        <v>385</v>
      </c>
      <c r="C11" s="191"/>
      <c r="E11" s="86"/>
      <c r="F11" s="86"/>
      <c r="G11" s="84"/>
    </row>
    <row r="12" spans="1:8" ht="27.8" customHeight="1" x14ac:dyDescent="0.25">
      <c r="A12" s="12" t="s">
        <v>380</v>
      </c>
      <c r="B12" s="190" t="s">
        <v>384</v>
      </c>
      <c r="C12" s="191"/>
      <c r="E12" s="86"/>
      <c r="F12" s="85"/>
      <c r="G12" s="84"/>
    </row>
    <row r="13" spans="1:8" ht="27.8" customHeight="1" x14ac:dyDescent="0.25">
      <c r="A13" s="12" t="s">
        <v>381</v>
      </c>
      <c r="B13" s="190" t="s">
        <v>383</v>
      </c>
      <c r="C13" s="191"/>
      <c r="E13" s="86"/>
      <c r="F13" s="85"/>
      <c r="G13" s="84"/>
      <c r="H13" s="87"/>
    </row>
    <row r="14" spans="1:8" ht="27.8" customHeight="1" x14ac:dyDescent="0.25">
      <c r="A14" s="12" t="s">
        <v>382</v>
      </c>
      <c r="B14" s="190" t="s">
        <v>386</v>
      </c>
      <c r="C14" s="191"/>
      <c r="E14" s="86"/>
      <c r="F14" s="86"/>
      <c r="G14" s="84"/>
      <c r="H14" s="87"/>
    </row>
    <row r="15" spans="1:8" ht="27.8" customHeight="1" x14ac:dyDescent="0.25">
      <c r="A15" s="12"/>
      <c r="B15" s="190"/>
      <c r="C15" s="191"/>
      <c r="E15" s="86"/>
      <c r="F15" s="86"/>
      <c r="G15" s="84"/>
      <c r="H15" s="87"/>
    </row>
    <row r="16" spans="1:8" ht="27.8" customHeight="1" x14ac:dyDescent="0.25">
      <c r="A16" s="12" t="s">
        <v>402</v>
      </c>
      <c r="B16" s="190" t="s">
        <v>403</v>
      </c>
      <c r="C16" s="191"/>
      <c r="E16" s="85"/>
      <c r="F16" s="85"/>
      <c r="G16" s="84"/>
    </row>
    <row r="17" spans="1:7" ht="27.8" customHeight="1" x14ac:dyDescent="0.25">
      <c r="A17" s="12" t="s">
        <v>404</v>
      </c>
      <c r="B17" s="190" t="s">
        <v>405</v>
      </c>
      <c r="C17" s="191"/>
      <c r="E17" s="85"/>
      <c r="F17" s="85"/>
      <c r="G17" s="84"/>
    </row>
    <row r="18" spans="1:7" ht="27.8" customHeight="1" x14ac:dyDescent="0.25">
      <c r="A18" s="12"/>
      <c r="B18" s="190"/>
      <c r="C18" s="191"/>
      <c r="E18" s="85"/>
      <c r="F18" s="85"/>
      <c r="G18" s="84"/>
    </row>
    <row r="19" spans="1:7" ht="27.8" customHeight="1" x14ac:dyDescent="0.25">
      <c r="A19" s="12"/>
      <c r="B19" s="190"/>
      <c r="C19" s="191"/>
      <c r="E19" s="85"/>
      <c r="F19" s="85"/>
      <c r="G19" s="84"/>
    </row>
    <row r="20" spans="1:7" ht="27.8" customHeight="1" thickBot="1" x14ac:dyDescent="0.3">
      <c r="A20" s="12"/>
      <c r="B20" s="190"/>
      <c r="C20" s="191"/>
      <c r="E20" s="88"/>
      <c r="F20" s="88"/>
      <c r="G20" s="84"/>
    </row>
    <row r="21" spans="1:7" ht="22.45" customHeight="1" x14ac:dyDescent="0.25">
      <c r="A21" s="187" t="s">
        <v>408</v>
      </c>
      <c r="B21" s="187"/>
      <c r="C21" s="187"/>
      <c r="E21" s="89">
        <f>SUM(E9:E20)</f>
        <v>0</v>
      </c>
      <c r="F21" s="89">
        <f>SUM(F9:F20)</f>
        <v>0</v>
      </c>
      <c r="G21" s="89">
        <f>SUM(G9:G20)</f>
        <v>0</v>
      </c>
    </row>
  </sheetData>
  <sheetProtection formatCells="0" formatColumns="0" formatRows="0" insertRows="0" deleteRows="0" selectLockedCells="1"/>
  <mergeCells count="21">
    <mergeCell ref="E7:G7"/>
    <mergeCell ref="A2:G2"/>
    <mergeCell ref="C1:G1"/>
    <mergeCell ref="B5:C5"/>
    <mergeCell ref="B8:C8"/>
    <mergeCell ref="F5:G5"/>
    <mergeCell ref="D3:F3"/>
    <mergeCell ref="A1:B1"/>
    <mergeCell ref="B19:C19"/>
    <mergeCell ref="B20:C20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21:C21"/>
  </mergeCells>
  <printOptions horizontalCentered="1"/>
  <pageMargins left="0.45" right="0.45" top="0.5" bottom="0.75" header="0.3" footer="0.3"/>
  <pageSetup scale="60" fitToHeight="0" orientation="portrait" r:id="rId1"/>
  <headerFooter>
    <oddFooter>&amp;L&amp;10SAL-FM-01-001 (rev C)&amp;CCONFIDENTIAL&amp;R&amp;10Rev Date:: 2022-Feb-24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7</xdr:col>
                    <xdr:colOff>172016</xdr:colOff>
                    <xdr:row>21</xdr:row>
                    <xdr:rowOff>172016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7</xdr:col>
                    <xdr:colOff>172016</xdr:colOff>
                    <xdr:row>21</xdr:row>
                    <xdr:rowOff>162962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7</xdr:col>
                    <xdr:colOff>172016</xdr:colOff>
                    <xdr:row>21</xdr:row>
                    <xdr:rowOff>162962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18107</xdr:colOff>
                    <xdr:row>4</xdr:row>
                    <xdr:rowOff>45267</xdr:rowOff>
                  </from>
                  <to>
                    <xdr:col>5</xdr:col>
                    <xdr:colOff>615636</xdr:colOff>
                    <xdr:row>4</xdr:row>
                    <xdr:rowOff>235390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597529</xdr:colOff>
                    <xdr:row>4</xdr:row>
                    <xdr:rowOff>63374</xdr:rowOff>
                  </from>
                  <to>
                    <xdr:col>6</xdr:col>
                    <xdr:colOff>172016</xdr:colOff>
                    <xdr:row>4</xdr:row>
                    <xdr:rowOff>226337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316871</xdr:colOff>
                    <xdr:row>4</xdr:row>
                    <xdr:rowOff>54321</xdr:rowOff>
                  </from>
                  <to>
                    <xdr:col>6</xdr:col>
                    <xdr:colOff>814812</xdr:colOff>
                    <xdr:row>4</xdr:row>
                    <xdr:rowOff>235390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</xdr:col>
                    <xdr:colOff>36214</xdr:colOff>
                    <xdr:row>21</xdr:row>
                    <xdr:rowOff>0</xdr:rowOff>
                  </from>
                  <to>
                    <xdr:col>7</xdr:col>
                    <xdr:colOff>208230</xdr:colOff>
                    <xdr:row>21</xdr:row>
                    <xdr:rowOff>162962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7</xdr:col>
                    <xdr:colOff>36214</xdr:colOff>
                    <xdr:row>21</xdr:row>
                    <xdr:rowOff>0</xdr:rowOff>
                  </from>
                  <to>
                    <xdr:col>7</xdr:col>
                    <xdr:colOff>208230</xdr:colOff>
                    <xdr:row>21</xdr:row>
                    <xdr:rowOff>162962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7</xdr:col>
                    <xdr:colOff>36214</xdr:colOff>
                    <xdr:row>21</xdr:row>
                    <xdr:rowOff>0</xdr:rowOff>
                  </from>
                  <to>
                    <xdr:col>7</xdr:col>
                    <xdr:colOff>208230</xdr:colOff>
                    <xdr:row>21</xdr:row>
                    <xdr:rowOff>172016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7</xdr:col>
                    <xdr:colOff>36214</xdr:colOff>
                    <xdr:row>21</xdr:row>
                    <xdr:rowOff>0</xdr:rowOff>
                  </from>
                  <to>
                    <xdr:col>7</xdr:col>
                    <xdr:colOff>208230</xdr:colOff>
                    <xdr:row>21</xdr:row>
                    <xdr:rowOff>172016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7</xdr:col>
                    <xdr:colOff>36214</xdr:colOff>
                    <xdr:row>21</xdr:row>
                    <xdr:rowOff>0</xdr:rowOff>
                  </from>
                  <to>
                    <xdr:col>7</xdr:col>
                    <xdr:colOff>208230</xdr:colOff>
                    <xdr:row>21</xdr:row>
                    <xdr:rowOff>172016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Scope Breakdown</vt:lpstr>
      <vt:lpstr>Line List</vt:lpstr>
      <vt:lpstr>BID SHEET</vt:lpstr>
      <vt:lpstr>A</vt:lpstr>
      <vt:lpstr>'BID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Blazevic</dc:creator>
  <cp:lastModifiedBy>Daniel Blazevic</cp:lastModifiedBy>
  <dcterms:created xsi:type="dcterms:W3CDTF">2026-02-17T00:45:20Z</dcterms:created>
  <dcterms:modified xsi:type="dcterms:W3CDTF">2026-03-03T18:00:05Z</dcterms:modified>
</cp:coreProperties>
</file>